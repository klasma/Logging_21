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45578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45578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45578</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45578</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45578</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45578</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45578</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45578</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45578</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45578</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45578</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45578</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45578</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45578</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45578</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45578</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45578</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45578</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45578</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45578</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45578</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45578</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45578</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45578</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45578</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45578</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45578</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45578</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45578</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45578</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45578</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45578</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45578</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45578</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45578</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45578</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45578</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45578</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45578</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45578</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45578</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45578</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45578</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45578</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45578</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45578</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45578</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45578</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45578</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45578</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45578</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45578</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45578</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45578</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45578</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45578</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45578</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45578</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45578</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45578</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45578</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45578</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45578</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45578</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45578</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45578</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45578</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45578</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45578</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45578</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45578</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45578</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45578</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45578</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45578</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45578</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45578</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45578</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45578</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45578</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45578</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45578</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45578</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45578</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45578</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45578</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45578</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45578</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45578</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45578</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45578</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45578</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45578</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45578</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45578</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45578</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45578</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45578</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45578</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45578</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45578</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45578</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45578</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45578</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45578</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45578</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45578</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45578</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45578</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45578</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45578</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45578</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45578</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45578</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45578</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45578</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45578</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45578</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45578</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45578</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45578</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45578</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45578</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45578</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45578</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45578</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45578</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45578</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45578</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45578</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45578</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45578</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45578</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45578</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45578</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45578</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45578</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45578</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45578</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45578</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45578</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45578</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45578</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45578</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45578</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45578</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45578</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45578</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45578</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45578</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45578</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45578</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45578</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45578</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45578</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45578</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45578</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45578</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45578</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45578</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45578</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45578</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45578</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45578</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45578</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45578</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45578</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45578</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45578</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45578</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45578</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45578</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45578</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45578</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45578</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45578</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45578</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45578</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45578</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45578</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45578</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45578</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45578</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45578</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45578</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45578</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45578</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45578</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45578</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45578</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45578</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45578</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45578</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45578</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45578</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45578</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45578</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45578</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45578</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45578</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45578</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45578</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45578</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45578</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45578</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45578</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45578</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45578</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45578</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45578</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45578</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45578</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45578</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45578</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45578</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45578</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45578</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45578</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45578</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45578</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45578</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45578</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45578</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45578</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45578</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45578</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45578</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45578</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45578</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45578</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45578</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45578</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45578</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45578</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45578</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45578</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45578</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45578</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45578</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45578</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45578</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45578</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45578</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45578</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45578</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45578</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45578</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45578</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45578</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45578</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45578</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45578</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45578</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45578</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45578</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45578</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45578</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45578</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45578</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45578</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45578</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45578</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45578</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23161-2023</t>
        </is>
      </c>
      <c r="B272" s="1" t="n">
        <v>45075</v>
      </c>
      <c r="C272" s="1" t="n">
        <v>45578</v>
      </c>
      <c r="D272" t="inlineStr">
        <is>
          <t>GÄVLEBORGS LÄN</t>
        </is>
      </c>
      <c r="E272" t="inlineStr">
        <is>
          <t>SANDVIKEN</t>
        </is>
      </c>
      <c r="F272" t="inlineStr">
        <is>
          <t>Bergvik skog öst AB</t>
        </is>
      </c>
      <c r="G272" t="n">
        <v>6.1</v>
      </c>
      <c r="H272" t="n">
        <v>0</v>
      </c>
      <c r="I272" t="n">
        <v>2</v>
      </c>
      <c r="J272" t="n">
        <v>0</v>
      </c>
      <c r="K272" t="n">
        <v>0</v>
      </c>
      <c r="L272" t="n">
        <v>0</v>
      </c>
      <c r="M272" t="n">
        <v>0</v>
      </c>
      <c r="N272" t="n">
        <v>0</v>
      </c>
      <c r="O272" t="n">
        <v>0</v>
      </c>
      <c r="P272" t="n">
        <v>0</v>
      </c>
      <c r="Q272" t="n">
        <v>2</v>
      </c>
      <c r="R272" s="2" t="inlineStr">
        <is>
          <t>Slanklav
Stubbspretmossa</t>
        </is>
      </c>
      <c r="S272">
        <f>HYPERLINK("https://klasma.github.io/Logging_2181/artfynd/A 23161-2023 artfynd.xlsx", "A 23161-2023")</f>
        <v/>
      </c>
      <c r="T272">
        <f>HYPERLINK("https://klasma.github.io/Logging_2181/kartor/A 23161-2023 karta.png", "A 23161-2023")</f>
        <v/>
      </c>
      <c r="V272">
        <f>HYPERLINK("https://klasma.github.io/Logging_2181/klagomål/A 23161-2023 FSC-klagomål.docx", "A 23161-2023")</f>
        <v/>
      </c>
      <c r="W272">
        <f>HYPERLINK("https://klasma.github.io/Logging_2181/klagomålsmail/A 23161-2023 FSC-klagomål mail.docx", "A 23161-2023")</f>
        <v/>
      </c>
      <c r="X272">
        <f>HYPERLINK("https://klasma.github.io/Logging_2181/tillsyn/A 23161-2023 tillsynsbegäran.docx", "A 23161-2023")</f>
        <v/>
      </c>
      <c r="Y272">
        <f>HYPERLINK("https://klasma.github.io/Logging_2181/tillsynsmail/A 23161-2023 tillsynsbegäran mail.docx", "A 23161-2023")</f>
        <v/>
      </c>
    </row>
    <row r="273" ht="15" customHeight="1">
      <c r="A273" t="inlineStr">
        <is>
          <t>A 23504-2023</t>
        </is>
      </c>
      <c r="B273" s="1" t="n">
        <v>45076</v>
      </c>
      <c r="C273" s="1" t="n">
        <v>45578</v>
      </c>
      <c r="D273" t="inlineStr">
        <is>
          <t>GÄVLEBORGS LÄN</t>
        </is>
      </c>
      <c r="E273" t="inlineStr">
        <is>
          <t>BOLLNÄS</t>
        </is>
      </c>
      <c r="F273" t="inlineStr">
        <is>
          <t>Sveaskog</t>
        </is>
      </c>
      <c r="G273" t="n">
        <v>11.6</v>
      </c>
      <c r="H273" t="n">
        <v>2</v>
      </c>
      <c r="I273" t="n">
        <v>0</v>
      </c>
      <c r="J273" t="n">
        <v>0</v>
      </c>
      <c r="K273" t="n">
        <v>0</v>
      </c>
      <c r="L273" t="n">
        <v>0</v>
      </c>
      <c r="M273" t="n">
        <v>0</v>
      </c>
      <c r="N273" t="n">
        <v>0</v>
      </c>
      <c r="O273" t="n">
        <v>0</v>
      </c>
      <c r="P273" t="n">
        <v>0</v>
      </c>
      <c r="Q273" t="n">
        <v>2</v>
      </c>
      <c r="R273" s="2" t="inlineStr">
        <is>
          <t>Lavskrika
Fläcknycklar</t>
        </is>
      </c>
      <c r="S273">
        <f>HYPERLINK("https://klasma.github.io/Logging_2183/artfynd/A 23504-2023 artfynd.xlsx", "A 23504-2023")</f>
        <v/>
      </c>
      <c r="T273">
        <f>HYPERLINK("https://klasma.github.io/Logging_2183/kartor/A 23504-2023 karta.png", "A 23504-2023")</f>
        <v/>
      </c>
      <c r="V273">
        <f>HYPERLINK("https://klasma.github.io/Logging_2183/klagomål/A 23504-2023 FSC-klagomål.docx", "A 23504-2023")</f>
        <v/>
      </c>
      <c r="W273">
        <f>HYPERLINK("https://klasma.github.io/Logging_2183/klagomålsmail/A 23504-2023 FSC-klagomål mail.docx", "A 23504-2023")</f>
        <v/>
      </c>
      <c r="X273">
        <f>HYPERLINK("https://klasma.github.io/Logging_2183/tillsyn/A 23504-2023 tillsynsbegäran.docx", "A 23504-2023")</f>
        <v/>
      </c>
      <c r="Y273">
        <f>HYPERLINK("https://klasma.github.io/Logging_2183/tillsynsmail/A 23504-2023 tillsynsbegäran mail.docx", "A 23504-2023")</f>
        <v/>
      </c>
      <c r="Z273">
        <f>HYPERLINK("https://klasma.github.io/Logging_2183/fåglar/A 23504-2023 prioriterade fågelarter.docx", "A 23504-2023")</f>
        <v/>
      </c>
    </row>
    <row r="274" ht="15" customHeight="1">
      <c r="A274" t="inlineStr">
        <is>
          <t>A 23838-2023</t>
        </is>
      </c>
      <c r="B274" s="1" t="n">
        <v>45078</v>
      </c>
      <c r="C274" s="1" t="n">
        <v>45578</v>
      </c>
      <c r="D274" t="inlineStr">
        <is>
          <t>GÄVLEBORGS LÄN</t>
        </is>
      </c>
      <c r="E274" t="inlineStr">
        <is>
          <t>HUDIKSVALL</t>
        </is>
      </c>
      <c r="F274" t="inlineStr">
        <is>
          <t>Holmen skog AB</t>
        </is>
      </c>
      <c r="G274" t="n">
        <v>2.7</v>
      </c>
      <c r="H274" t="n">
        <v>0</v>
      </c>
      <c r="I274" t="n">
        <v>2</v>
      </c>
      <c r="J274" t="n">
        <v>0</v>
      </c>
      <c r="K274" t="n">
        <v>0</v>
      </c>
      <c r="L274" t="n">
        <v>0</v>
      </c>
      <c r="M274" t="n">
        <v>0</v>
      </c>
      <c r="N274" t="n">
        <v>0</v>
      </c>
      <c r="O274" t="n">
        <v>0</v>
      </c>
      <c r="P274" t="n">
        <v>0</v>
      </c>
      <c r="Q274" t="n">
        <v>2</v>
      </c>
      <c r="R274" s="2" t="inlineStr">
        <is>
          <t>Skinnlav
Stor aspticka</t>
        </is>
      </c>
      <c r="S274">
        <f>HYPERLINK("https://klasma.github.io/Logging_2184/artfynd/A 23838-2023 artfynd.xlsx", "A 23838-2023")</f>
        <v/>
      </c>
      <c r="T274">
        <f>HYPERLINK("https://klasma.github.io/Logging_2184/kartor/A 23838-2023 karta.png", "A 23838-2023")</f>
        <v/>
      </c>
      <c r="V274">
        <f>HYPERLINK("https://klasma.github.io/Logging_2184/klagomål/A 23838-2023 FSC-klagomål.docx", "A 23838-2023")</f>
        <v/>
      </c>
      <c r="W274">
        <f>HYPERLINK("https://klasma.github.io/Logging_2184/klagomålsmail/A 23838-2023 FSC-klagomål mail.docx", "A 23838-2023")</f>
        <v/>
      </c>
      <c r="X274">
        <f>HYPERLINK("https://klasma.github.io/Logging_2184/tillsyn/A 23838-2023 tillsynsbegäran.docx", "A 23838-2023")</f>
        <v/>
      </c>
      <c r="Y274">
        <f>HYPERLINK("https://klasma.github.io/Logging_2184/tillsynsmail/A 23838-2023 tillsynsbegäran mail.docx", "A 23838-2023")</f>
        <v/>
      </c>
    </row>
    <row r="275" ht="15" customHeight="1">
      <c r="A275" t="inlineStr">
        <is>
          <t>A 24802-2023</t>
        </is>
      </c>
      <c r="B275" s="1" t="n">
        <v>45084</v>
      </c>
      <c r="C275" s="1" t="n">
        <v>45578</v>
      </c>
      <c r="D275" t="inlineStr">
        <is>
          <t>GÄVLEBORGS LÄN</t>
        </is>
      </c>
      <c r="E275" t="inlineStr">
        <is>
          <t>SANDVIKEN</t>
        </is>
      </c>
      <c r="F275" t="inlineStr">
        <is>
          <t>Bergvik skog öst AB</t>
        </is>
      </c>
      <c r="G275" t="n">
        <v>3</v>
      </c>
      <c r="H275" t="n">
        <v>0</v>
      </c>
      <c r="I275" t="n">
        <v>1</v>
      </c>
      <c r="J275" t="n">
        <v>1</v>
      </c>
      <c r="K275" t="n">
        <v>0</v>
      </c>
      <c r="L275" t="n">
        <v>0</v>
      </c>
      <c r="M275" t="n">
        <v>0</v>
      </c>
      <c r="N275" t="n">
        <v>0</v>
      </c>
      <c r="O275" t="n">
        <v>1</v>
      </c>
      <c r="P275" t="n">
        <v>0</v>
      </c>
      <c r="Q275" t="n">
        <v>2</v>
      </c>
      <c r="R275" s="2" t="inlineStr">
        <is>
          <t>Koralltaggsvamp
Svart trolldruva</t>
        </is>
      </c>
      <c r="S275">
        <f>HYPERLINK("https://klasma.github.io/Logging_2181/artfynd/A 24802-2023 artfynd.xlsx", "A 24802-2023")</f>
        <v/>
      </c>
      <c r="T275">
        <f>HYPERLINK("https://klasma.github.io/Logging_2181/kartor/A 24802-2023 karta.png", "A 24802-2023")</f>
        <v/>
      </c>
      <c r="V275">
        <f>HYPERLINK("https://klasma.github.io/Logging_2181/klagomål/A 24802-2023 FSC-klagomål.docx", "A 24802-2023")</f>
        <v/>
      </c>
      <c r="W275">
        <f>HYPERLINK("https://klasma.github.io/Logging_2181/klagomålsmail/A 24802-2023 FSC-klagomål mail.docx", "A 24802-2023")</f>
        <v/>
      </c>
      <c r="X275">
        <f>HYPERLINK("https://klasma.github.io/Logging_2181/tillsyn/A 24802-2023 tillsynsbegäran.docx", "A 24802-2023")</f>
        <v/>
      </c>
      <c r="Y275">
        <f>HYPERLINK("https://klasma.github.io/Logging_2181/tillsynsmail/A 24802-2023 tillsynsbegäran mail.docx", "A 24802-2023")</f>
        <v/>
      </c>
    </row>
    <row r="276" ht="15" customHeight="1">
      <c r="A276" t="inlineStr">
        <is>
          <t>A 26325-2023</t>
        </is>
      </c>
      <c r="B276" s="1" t="n">
        <v>45091</v>
      </c>
      <c r="C276" s="1" t="n">
        <v>45578</v>
      </c>
      <c r="D276" t="inlineStr">
        <is>
          <t>GÄVLEBORGS LÄN</t>
        </is>
      </c>
      <c r="E276" t="inlineStr">
        <is>
          <t>NORDANSTIG</t>
        </is>
      </c>
      <c r="F276" t="inlineStr">
        <is>
          <t>Holmen skog AB</t>
        </is>
      </c>
      <c r="G276" t="n">
        <v>9.9</v>
      </c>
      <c r="H276" t="n">
        <v>0</v>
      </c>
      <c r="I276" t="n">
        <v>0</v>
      </c>
      <c r="J276" t="n">
        <v>1</v>
      </c>
      <c r="K276" t="n">
        <v>1</v>
      </c>
      <c r="L276" t="n">
        <v>0</v>
      </c>
      <c r="M276" t="n">
        <v>0</v>
      </c>
      <c r="N276" t="n">
        <v>0</v>
      </c>
      <c r="O276" t="n">
        <v>2</v>
      </c>
      <c r="P276" t="n">
        <v>1</v>
      </c>
      <c r="Q276" t="n">
        <v>2</v>
      </c>
      <c r="R276" s="2" t="inlineStr">
        <is>
          <t>Ringlav
Rosenticka</t>
        </is>
      </c>
      <c r="S276">
        <f>HYPERLINK("https://klasma.github.io/Logging_2132/artfynd/A 26325-2023 artfynd.xlsx", "A 26325-2023")</f>
        <v/>
      </c>
      <c r="T276">
        <f>HYPERLINK("https://klasma.github.io/Logging_2132/kartor/A 26325-2023 karta.png", "A 26325-2023")</f>
        <v/>
      </c>
      <c r="V276">
        <f>HYPERLINK("https://klasma.github.io/Logging_2132/klagomål/A 26325-2023 FSC-klagomål.docx", "A 26325-2023")</f>
        <v/>
      </c>
      <c r="W276">
        <f>HYPERLINK("https://klasma.github.io/Logging_2132/klagomålsmail/A 26325-2023 FSC-klagomål mail.docx", "A 26325-2023")</f>
        <v/>
      </c>
      <c r="X276">
        <f>HYPERLINK("https://klasma.github.io/Logging_2132/tillsyn/A 26325-2023 tillsynsbegäran.docx", "A 26325-2023")</f>
        <v/>
      </c>
      <c r="Y276">
        <f>HYPERLINK("https://klasma.github.io/Logging_2132/tillsynsmail/A 26325-2023 tillsynsbegäran mail.docx", "A 26325-2023")</f>
        <v/>
      </c>
    </row>
    <row r="277" ht="15" customHeight="1">
      <c r="A277" t="inlineStr">
        <is>
          <t>A 26487-2023</t>
        </is>
      </c>
      <c r="B277" s="1" t="n">
        <v>45092</v>
      </c>
      <c r="C277" s="1" t="n">
        <v>45578</v>
      </c>
      <c r="D277" t="inlineStr">
        <is>
          <t>GÄVLEBORGS LÄN</t>
        </is>
      </c>
      <c r="E277" t="inlineStr">
        <is>
          <t>LJUSDAL</t>
        </is>
      </c>
      <c r="F277" t="inlineStr">
        <is>
          <t>Sveaskog</t>
        </is>
      </c>
      <c r="G277" t="n">
        <v>11.2</v>
      </c>
      <c r="H277" t="n">
        <v>0</v>
      </c>
      <c r="I277" t="n">
        <v>0</v>
      </c>
      <c r="J277" t="n">
        <v>2</v>
      </c>
      <c r="K277" t="n">
        <v>0</v>
      </c>
      <c r="L277" t="n">
        <v>0</v>
      </c>
      <c r="M277" t="n">
        <v>0</v>
      </c>
      <c r="N277" t="n">
        <v>0</v>
      </c>
      <c r="O277" t="n">
        <v>2</v>
      </c>
      <c r="P277" t="n">
        <v>0</v>
      </c>
      <c r="Q277" t="n">
        <v>2</v>
      </c>
      <c r="R277" s="2" t="inlineStr">
        <is>
          <t>Lunglav
Skrovellav</t>
        </is>
      </c>
      <c r="S277">
        <f>HYPERLINK("https://klasma.github.io/Logging_2161/artfynd/A 26487-2023 artfynd.xlsx", "A 26487-2023")</f>
        <v/>
      </c>
      <c r="T277">
        <f>HYPERLINK("https://klasma.github.io/Logging_2161/kartor/A 26487-2023 karta.png", "A 26487-2023")</f>
        <v/>
      </c>
      <c r="V277">
        <f>HYPERLINK("https://klasma.github.io/Logging_2161/klagomål/A 26487-2023 FSC-klagomål.docx", "A 26487-2023")</f>
        <v/>
      </c>
      <c r="W277">
        <f>HYPERLINK("https://klasma.github.io/Logging_2161/klagomålsmail/A 26487-2023 FSC-klagomål mail.docx", "A 26487-2023")</f>
        <v/>
      </c>
      <c r="X277">
        <f>HYPERLINK("https://klasma.github.io/Logging_2161/tillsyn/A 26487-2023 tillsynsbegäran.docx", "A 26487-2023")</f>
        <v/>
      </c>
      <c r="Y277">
        <f>HYPERLINK("https://klasma.github.io/Logging_2161/tillsynsmail/A 26487-2023 tillsynsbegäran mail.docx", "A 26487-2023")</f>
        <v/>
      </c>
    </row>
    <row r="278" ht="15" customHeight="1">
      <c r="A278" t="inlineStr">
        <is>
          <t>A 26522-2023</t>
        </is>
      </c>
      <c r="B278" s="1" t="n">
        <v>45092</v>
      </c>
      <c r="C278" s="1" t="n">
        <v>45578</v>
      </c>
      <c r="D278" t="inlineStr">
        <is>
          <t>GÄVLEBORGS LÄN</t>
        </is>
      </c>
      <c r="E278" t="inlineStr">
        <is>
          <t>BOLLNÄS</t>
        </is>
      </c>
      <c r="F278" t="inlineStr">
        <is>
          <t>Bergvik skog väst AB</t>
        </is>
      </c>
      <c r="G278" t="n">
        <v>8.6</v>
      </c>
      <c r="H278" t="n">
        <v>2</v>
      </c>
      <c r="I278" t="n">
        <v>0</v>
      </c>
      <c r="J278" t="n">
        <v>1</v>
      </c>
      <c r="K278" t="n">
        <v>0</v>
      </c>
      <c r="L278" t="n">
        <v>0</v>
      </c>
      <c r="M278" t="n">
        <v>0</v>
      </c>
      <c r="N278" t="n">
        <v>0</v>
      </c>
      <c r="O278" t="n">
        <v>1</v>
      </c>
      <c r="P278" t="n">
        <v>0</v>
      </c>
      <c r="Q278" t="n">
        <v>2</v>
      </c>
      <c r="R278" s="2" t="inlineStr">
        <is>
          <t>Smålom
Huggorm</t>
        </is>
      </c>
      <c r="S278">
        <f>HYPERLINK("https://klasma.github.io/Logging_2183/artfynd/A 26522-2023 artfynd.xlsx", "A 26522-2023")</f>
        <v/>
      </c>
      <c r="T278">
        <f>HYPERLINK("https://klasma.github.io/Logging_2183/kartor/A 26522-2023 karta.png", "A 26522-2023")</f>
        <v/>
      </c>
      <c r="V278">
        <f>HYPERLINK("https://klasma.github.io/Logging_2183/klagomål/A 26522-2023 FSC-klagomål.docx", "A 26522-2023")</f>
        <v/>
      </c>
      <c r="W278">
        <f>HYPERLINK("https://klasma.github.io/Logging_2183/klagomålsmail/A 26522-2023 FSC-klagomål mail.docx", "A 26522-2023")</f>
        <v/>
      </c>
      <c r="X278">
        <f>HYPERLINK("https://klasma.github.io/Logging_2183/tillsyn/A 26522-2023 tillsynsbegäran.docx", "A 26522-2023")</f>
        <v/>
      </c>
      <c r="Y278">
        <f>HYPERLINK("https://klasma.github.io/Logging_2183/tillsynsmail/A 26522-2023 tillsynsbegäran mail.docx", "A 26522-2023")</f>
        <v/>
      </c>
      <c r="Z278">
        <f>HYPERLINK("https://klasma.github.io/Logging_2183/fåglar/A 26522-2023 prioriterade fågelarter.docx", "A 26522-2023")</f>
        <v/>
      </c>
    </row>
    <row r="279" ht="15" customHeight="1">
      <c r="A279" t="inlineStr">
        <is>
          <t>A 30237-2023</t>
        </is>
      </c>
      <c r="B279" s="1" t="n">
        <v>45110</v>
      </c>
      <c r="C279" s="1" t="n">
        <v>45578</v>
      </c>
      <c r="D279" t="inlineStr">
        <is>
          <t>GÄVLEBORGS LÄN</t>
        </is>
      </c>
      <c r="E279" t="inlineStr">
        <is>
          <t>LJUSDAL</t>
        </is>
      </c>
      <c r="F279" t="inlineStr">
        <is>
          <t>Sveaskog</t>
        </is>
      </c>
      <c r="G279" t="n">
        <v>1.7</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30237-2023 artfynd.xlsx", "A 30237-2023")</f>
        <v/>
      </c>
      <c r="T279">
        <f>HYPERLINK("https://klasma.github.io/Logging_2161/kartor/A 30237-2023 karta.png", "A 30237-2023")</f>
        <v/>
      </c>
      <c r="V279">
        <f>HYPERLINK("https://klasma.github.io/Logging_2161/klagomål/A 30237-2023 FSC-klagomål.docx", "A 30237-2023")</f>
        <v/>
      </c>
      <c r="W279">
        <f>HYPERLINK("https://klasma.github.io/Logging_2161/klagomålsmail/A 30237-2023 FSC-klagomål mail.docx", "A 30237-2023")</f>
        <v/>
      </c>
      <c r="X279">
        <f>HYPERLINK("https://klasma.github.io/Logging_2161/tillsyn/A 30237-2023 tillsynsbegäran.docx", "A 30237-2023")</f>
        <v/>
      </c>
      <c r="Y279">
        <f>HYPERLINK("https://klasma.github.io/Logging_2161/tillsynsmail/A 30237-2023 tillsynsbegäran mail.docx", "A 30237-2023")</f>
        <v/>
      </c>
    </row>
    <row r="280" ht="15" customHeight="1">
      <c r="A280" t="inlineStr">
        <is>
          <t>A 31123-2023</t>
        </is>
      </c>
      <c r="B280" s="1" t="n">
        <v>45113</v>
      </c>
      <c r="C280" s="1" t="n">
        <v>45578</v>
      </c>
      <c r="D280" t="inlineStr">
        <is>
          <t>GÄVLEBORGS LÄN</t>
        </is>
      </c>
      <c r="E280" t="inlineStr">
        <is>
          <t>LJUSDAL</t>
        </is>
      </c>
      <c r="F280" t="inlineStr">
        <is>
          <t>Sveaskog</t>
        </is>
      </c>
      <c r="G280" t="n">
        <v>10.2</v>
      </c>
      <c r="H280" t="n">
        <v>0</v>
      </c>
      <c r="I280" t="n">
        <v>0</v>
      </c>
      <c r="J280" t="n">
        <v>1</v>
      </c>
      <c r="K280" t="n">
        <v>1</v>
      </c>
      <c r="L280" t="n">
        <v>0</v>
      </c>
      <c r="M280" t="n">
        <v>0</v>
      </c>
      <c r="N280" t="n">
        <v>0</v>
      </c>
      <c r="O280" t="n">
        <v>2</v>
      </c>
      <c r="P280" t="n">
        <v>1</v>
      </c>
      <c r="Q280" t="n">
        <v>2</v>
      </c>
      <c r="R280" s="2" t="inlineStr">
        <is>
          <t>Norsk näverlav
Kolflarnlav</t>
        </is>
      </c>
      <c r="S280">
        <f>HYPERLINK("https://klasma.github.io/Logging_2161/artfynd/A 31123-2023 artfynd.xlsx", "A 31123-2023")</f>
        <v/>
      </c>
      <c r="T280">
        <f>HYPERLINK("https://klasma.github.io/Logging_2161/kartor/A 31123-2023 karta.png", "A 31123-2023")</f>
        <v/>
      </c>
      <c r="V280">
        <f>HYPERLINK("https://klasma.github.io/Logging_2161/klagomål/A 31123-2023 FSC-klagomål.docx", "A 31123-2023")</f>
        <v/>
      </c>
      <c r="W280">
        <f>HYPERLINK("https://klasma.github.io/Logging_2161/klagomålsmail/A 31123-2023 FSC-klagomål mail.docx", "A 31123-2023")</f>
        <v/>
      </c>
      <c r="X280">
        <f>HYPERLINK("https://klasma.github.io/Logging_2161/tillsyn/A 31123-2023 tillsynsbegäran.docx", "A 31123-2023")</f>
        <v/>
      </c>
      <c r="Y280">
        <f>HYPERLINK("https://klasma.github.io/Logging_2161/tillsynsmail/A 31123-2023 tillsynsbegäran mail.docx", "A 31123-2023")</f>
        <v/>
      </c>
    </row>
    <row r="281" ht="15" customHeight="1">
      <c r="A281" t="inlineStr">
        <is>
          <t>A 31541-2023</t>
        </is>
      </c>
      <c r="B281" s="1" t="n">
        <v>45117</v>
      </c>
      <c r="C281" s="1" t="n">
        <v>45578</v>
      </c>
      <c r="D281" t="inlineStr">
        <is>
          <t>GÄVLEBORGS LÄN</t>
        </is>
      </c>
      <c r="E281" t="inlineStr">
        <is>
          <t>GÄVLE</t>
        </is>
      </c>
      <c r="F281" t="inlineStr">
        <is>
          <t>Bergvik skog väst AB</t>
        </is>
      </c>
      <c r="G281" t="n">
        <v>8.300000000000001</v>
      </c>
      <c r="H281" t="n">
        <v>1</v>
      </c>
      <c r="I281" t="n">
        <v>1</v>
      </c>
      <c r="J281" t="n">
        <v>0</v>
      </c>
      <c r="K281" t="n">
        <v>0</v>
      </c>
      <c r="L281" t="n">
        <v>0</v>
      </c>
      <c r="M281" t="n">
        <v>0</v>
      </c>
      <c r="N281" t="n">
        <v>0</v>
      </c>
      <c r="O281" t="n">
        <v>0</v>
      </c>
      <c r="P281" t="n">
        <v>0</v>
      </c>
      <c r="Q281" t="n">
        <v>2</v>
      </c>
      <c r="R281" s="2" t="inlineStr">
        <is>
          <t>Vårärt
Mattlummer</t>
        </is>
      </c>
      <c r="S281">
        <f>HYPERLINK("https://klasma.github.io/Logging_2180/artfynd/A 31541-2023 artfynd.xlsx", "A 31541-2023")</f>
        <v/>
      </c>
      <c r="T281">
        <f>HYPERLINK("https://klasma.github.io/Logging_2180/kartor/A 31541-2023 karta.png", "A 31541-2023")</f>
        <v/>
      </c>
      <c r="V281">
        <f>HYPERLINK("https://klasma.github.io/Logging_2180/klagomål/A 31541-2023 FSC-klagomål.docx", "A 31541-2023")</f>
        <v/>
      </c>
      <c r="W281">
        <f>HYPERLINK("https://klasma.github.io/Logging_2180/klagomålsmail/A 31541-2023 FSC-klagomål mail.docx", "A 31541-2023")</f>
        <v/>
      </c>
      <c r="X281">
        <f>HYPERLINK("https://klasma.github.io/Logging_2180/tillsyn/A 31541-2023 tillsynsbegäran.docx", "A 31541-2023")</f>
        <v/>
      </c>
      <c r="Y281">
        <f>HYPERLINK("https://klasma.github.io/Logging_2180/tillsynsmail/A 31541-2023 tillsynsbegäran mail.docx", "A 31541-2023")</f>
        <v/>
      </c>
    </row>
    <row r="282" ht="15" customHeight="1">
      <c r="A282" t="inlineStr">
        <is>
          <t>A 32502-2023</t>
        </is>
      </c>
      <c r="B282" s="1" t="n">
        <v>45121</v>
      </c>
      <c r="C282" s="1" t="n">
        <v>45578</v>
      </c>
      <c r="D282" t="inlineStr">
        <is>
          <t>GÄVLEBORGS LÄN</t>
        </is>
      </c>
      <c r="E282" t="inlineStr">
        <is>
          <t>LJUSDAL</t>
        </is>
      </c>
      <c r="F282" t="inlineStr">
        <is>
          <t>Sveaskog</t>
        </is>
      </c>
      <c r="G282" t="n">
        <v>9.199999999999999</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32502-2023 artfynd.xlsx", "A 32502-2023")</f>
        <v/>
      </c>
      <c r="T282">
        <f>HYPERLINK("https://klasma.github.io/Logging_2161/kartor/A 32502-2023 karta.png", "A 32502-2023")</f>
        <v/>
      </c>
      <c r="V282">
        <f>HYPERLINK("https://klasma.github.io/Logging_2161/klagomål/A 32502-2023 FSC-klagomål.docx", "A 32502-2023")</f>
        <v/>
      </c>
      <c r="W282">
        <f>HYPERLINK("https://klasma.github.io/Logging_2161/klagomålsmail/A 32502-2023 FSC-klagomål mail.docx", "A 32502-2023")</f>
        <v/>
      </c>
      <c r="X282">
        <f>HYPERLINK("https://klasma.github.io/Logging_2161/tillsyn/A 32502-2023 tillsynsbegäran.docx", "A 32502-2023")</f>
        <v/>
      </c>
      <c r="Y282">
        <f>HYPERLINK("https://klasma.github.io/Logging_2161/tillsynsmail/A 32502-2023 tillsynsbegäran mail.docx", "A 32502-2023")</f>
        <v/>
      </c>
    </row>
    <row r="283" ht="15" customHeight="1">
      <c r="A283" t="inlineStr">
        <is>
          <t>A 36586-2023</t>
        </is>
      </c>
      <c r="B283" s="1" t="n">
        <v>45153</v>
      </c>
      <c r="C283" s="1" t="n">
        <v>45578</v>
      </c>
      <c r="D283" t="inlineStr">
        <is>
          <t>GÄVLEBORGS LÄN</t>
        </is>
      </c>
      <c r="E283" t="inlineStr">
        <is>
          <t>LJUSDAL</t>
        </is>
      </c>
      <c r="F283" t="inlineStr">
        <is>
          <t>Bergvik skog väst AB</t>
        </is>
      </c>
      <c r="G283" t="n">
        <v>27</v>
      </c>
      <c r="H283" t="n">
        <v>1</v>
      </c>
      <c r="I283" t="n">
        <v>0</v>
      </c>
      <c r="J283" t="n">
        <v>2</v>
      </c>
      <c r="K283" t="n">
        <v>0</v>
      </c>
      <c r="L283" t="n">
        <v>0</v>
      </c>
      <c r="M283" t="n">
        <v>0</v>
      </c>
      <c r="N283" t="n">
        <v>0</v>
      </c>
      <c r="O283" t="n">
        <v>2</v>
      </c>
      <c r="P283" t="n">
        <v>0</v>
      </c>
      <c r="Q283" t="n">
        <v>2</v>
      </c>
      <c r="R283" s="2" t="inlineStr">
        <is>
          <t>Lunglav
Tretåig hackspett</t>
        </is>
      </c>
      <c r="S283">
        <f>HYPERLINK("https://klasma.github.io/Logging_2161/artfynd/A 36586-2023 artfynd.xlsx", "A 36586-2023")</f>
        <v/>
      </c>
      <c r="T283">
        <f>HYPERLINK("https://klasma.github.io/Logging_2161/kartor/A 36586-2023 karta.png", "A 36586-2023")</f>
        <v/>
      </c>
      <c r="U283">
        <f>HYPERLINK("https://klasma.github.io/Logging_2161/knärot/A 36586-2023 karta knärot.png", "A 36586-2023")</f>
        <v/>
      </c>
      <c r="V283">
        <f>HYPERLINK("https://klasma.github.io/Logging_2161/klagomål/A 36586-2023 FSC-klagomål.docx", "A 36586-2023")</f>
        <v/>
      </c>
      <c r="W283">
        <f>HYPERLINK("https://klasma.github.io/Logging_2161/klagomålsmail/A 36586-2023 FSC-klagomål mail.docx", "A 36586-2023")</f>
        <v/>
      </c>
      <c r="X283">
        <f>HYPERLINK("https://klasma.github.io/Logging_2161/tillsyn/A 36586-2023 tillsynsbegäran.docx", "A 36586-2023")</f>
        <v/>
      </c>
      <c r="Y283">
        <f>HYPERLINK("https://klasma.github.io/Logging_2161/tillsynsmail/A 36586-2023 tillsynsbegäran mail.docx", "A 36586-2023")</f>
        <v/>
      </c>
      <c r="Z283">
        <f>HYPERLINK("https://klasma.github.io/Logging_2161/fåglar/A 36586-2023 prioriterade fågelarter.docx", "A 36586-2023")</f>
        <v/>
      </c>
    </row>
    <row r="284" ht="15" customHeight="1">
      <c r="A284" t="inlineStr">
        <is>
          <t>A 39002-2023</t>
        </is>
      </c>
      <c r="B284" s="1" t="n">
        <v>45163</v>
      </c>
      <c r="C284" s="1" t="n">
        <v>45578</v>
      </c>
      <c r="D284" t="inlineStr">
        <is>
          <t>GÄVLEBORGS LÄN</t>
        </is>
      </c>
      <c r="E284" t="inlineStr">
        <is>
          <t>HOFORS</t>
        </is>
      </c>
      <c r="F284" t="inlineStr">
        <is>
          <t>Sveaskog</t>
        </is>
      </c>
      <c r="G284" t="n">
        <v>2.5</v>
      </c>
      <c r="H284" t="n">
        <v>1</v>
      </c>
      <c r="I284" t="n">
        <v>1</v>
      </c>
      <c r="J284" t="n">
        <v>0</v>
      </c>
      <c r="K284" t="n">
        <v>0</v>
      </c>
      <c r="L284" t="n">
        <v>0</v>
      </c>
      <c r="M284" t="n">
        <v>0</v>
      </c>
      <c r="N284" t="n">
        <v>0</v>
      </c>
      <c r="O284" t="n">
        <v>0</v>
      </c>
      <c r="P284" t="n">
        <v>0</v>
      </c>
      <c r="Q284" t="n">
        <v>2</v>
      </c>
      <c r="R284" s="2" t="inlineStr">
        <is>
          <t>Gräsull
Blåsippa</t>
        </is>
      </c>
      <c r="S284">
        <f>HYPERLINK("https://klasma.github.io/Logging_2104/artfynd/A 39002-2023 artfynd.xlsx", "A 39002-2023")</f>
        <v/>
      </c>
      <c r="T284">
        <f>HYPERLINK("https://klasma.github.io/Logging_2104/kartor/A 39002-2023 karta.png", "A 39002-2023")</f>
        <v/>
      </c>
      <c r="V284">
        <f>HYPERLINK("https://klasma.github.io/Logging_2104/klagomål/A 39002-2023 FSC-klagomål.docx", "A 39002-2023")</f>
        <v/>
      </c>
      <c r="W284">
        <f>HYPERLINK("https://klasma.github.io/Logging_2104/klagomålsmail/A 39002-2023 FSC-klagomål mail.docx", "A 39002-2023")</f>
        <v/>
      </c>
      <c r="X284">
        <f>HYPERLINK("https://klasma.github.io/Logging_2104/tillsyn/A 39002-2023 tillsynsbegäran.docx", "A 39002-2023")</f>
        <v/>
      </c>
      <c r="Y284">
        <f>HYPERLINK("https://klasma.github.io/Logging_2104/tillsynsmail/A 39002-2023 tillsynsbegäran mail.docx", "A 39002-2023")</f>
        <v/>
      </c>
    </row>
    <row r="285" ht="15" customHeight="1">
      <c r="A285" t="inlineStr">
        <is>
          <t>A 40743-2023</t>
        </is>
      </c>
      <c r="B285" s="1" t="n">
        <v>45170</v>
      </c>
      <c r="C285" s="1" t="n">
        <v>45578</v>
      </c>
      <c r="D285" t="inlineStr">
        <is>
          <t>GÄVLEBORGS LÄN</t>
        </is>
      </c>
      <c r="E285" t="inlineStr">
        <is>
          <t>LJUSDAL</t>
        </is>
      </c>
      <c r="F285" t="inlineStr">
        <is>
          <t>Sveaskog</t>
        </is>
      </c>
      <c r="G285" t="n">
        <v>12.2</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40743-2023 artfynd.xlsx", "A 40743-2023")</f>
        <v/>
      </c>
      <c r="T285">
        <f>HYPERLINK("https://klasma.github.io/Logging_2161/kartor/A 40743-2023 karta.png", "A 40743-2023")</f>
        <v/>
      </c>
      <c r="V285">
        <f>HYPERLINK("https://klasma.github.io/Logging_2161/klagomål/A 40743-2023 FSC-klagomål.docx", "A 40743-2023")</f>
        <v/>
      </c>
      <c r="W285">
        <f>HYPERLINK("https://klasma.github.io/Logging_2161/klagomålsmail/A 40743-2023 FSC-klagomål mail.docx", "A 40743-2023")</f>
        <v/>
      </c>
      <c r="X285">
        <f>HYPERLINK("https://klasma.github.io/Logging_2161/tillsyn/A 40743-2023 tillsynsbegäran.docx", "A 40743-2023")</f>
        <v/>
      </c>
      <c r="Y285">
        <f>HYPERLINK("https://klasma.github.io/Logging_2161/tillsynsmail/A 40743-2023 tillsynsbegäran mail.docx", "A 40743-2023")</f>
        <v/>
      </c>
    </row>
    <row r="286" ht="15" customHeight="1">
      <c r="A286" t="inlineStr">
        <is>
          <t>A 41221-2023</t>
        </is>
      </c>
      <c r="B286" s="1" t="n">
        <v>45174</v>
      </c>
      <c r="C286" s="1" t="n">
        <v>45578</v>
      </c>
      <c r="D286" t="inlineStr">
        <is>
          <t>GÄVLEBORGS LÄN</t>
        </is>
      </c>
      <c r="E286" t="inlineStr">
        <is>
          <t>NORDANSTIG</t>
        </is>
      </c>
      <c r="F286" t="inlineStr">
        <is>
          <t>Holmen skog AB</t>
        </is>
      </c>
      <c r="G286" t="n">
        <v>13.1</v>
      </c>
      <c r="H286" t="n">
        <v>0</v>
      </c>
      <c r="I286" t="n">
        <v>1</v>
      </c>
      <c r="J286" t="n">
        <v>1</v>
      </c>
      <c r="K286" t="n">
        <v>0</v>
      </c>
      <c r="L286" t="n">
        <v>0</v>
      </c>
      <c r="M286" t="n">
        <v>0</v>
      </c>
      <c r="N286" t="n">
        <v>0</v>
      </c>
      <c r="O286" t="n">
        <v>1</v>
      </c>
      <c r="P286" t="n">
        <v>0</v>
      </c>
      <c r="Q286" t="n">
        <v>2</v>
      </c>
      <c r="R286" s="2" t="inlineStr">
        <is>
          <t>Lunglav
Dropptaggsvamp</t>
        </is>
      </c>
      <c r="S286">
        <f>HYPERLINK("https://klasma.github.io/Logging_2132/artfynd/A 41221-2023 artfynd.xlsx", "A 41221-2023")</f>
        <v/>
      </c>
      <c r="T286">
        <f>HYPERLINK("https://klasma.github.io/Logging_2132/kartor/A 41221-2023 karta.png", "A 41221-2023")</f>
        <v/>
      </c>
      <c r="V286">
        <f>HYPERLINK("https://klasma.github.io/Logging_2132/klagomål/A 41221-2023 FSC-klagomål.docx", "A 41221-2023")</f>
        <v/>
      </c>
      <c r="W286">
        <f>HYPERLINK("https://klasma.github.io/Logging_2132/klagomålsmail/A 41221-2023 FSC-klagomål mail.docx", "A 41221-2023")</f>
        <v/>
      </c>
      <c r="X286">
        <f>HYPERLINK("https://klasma.github.io/Logging_2132/tillsyn/A 41221-2023 tillsynsbegäran.docx", "A 41221-2023")</f>
        <v/>
      </c>
      <c r="Y286">
        <f>HYPERLINK("https://klasma.github.io/Logging_2132/tillsynsmail/A 41221-2023 tillsynsbegäran mail.docx", "A 41221-2023")</f>
        <v/>
      </c>
    </row>
    <row r="287" ht="15" customHeight="1">
      <c r="A287" t="inlineStr">
        <is>
          <t>A 42123-2023</t>
        </is>
      </c>
      <c r="B287" s="1" t="n">
        <v>45177</v>
      </c>
      <c r="C287" s="1" t="n">
        <v>45578</v>
      </c>
      <c r="D287" t="inlineStr">
        <is>
          <t>GÄVLEBORGS LÄN</t>
        </is>
      </c>
      <c r="E287" t="inlineStr">
        <is>
          <t>LJUSDAL</t>
        </is>
      </c>
      <c r="F287" t="inlineStr">
        <is>
          <t>Sveaskog</t>
        </is>
      </c>
      <c r="G287" t="n">
        <v>19.7</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42123-2023 artfynd.xlsx", "A 42123-2023")</f>
        <v/>
      </c>
      <c r="T287">
        <f>HYPERLINK("https://klasma.github.io/Logging_2161/kartor/A 42123-2023 karta.png", "A 42123-2023")</f>
        <v/>
      </c>
      <c r="V287">
        <f>HYPERLINK("https://klasma.github.io/Logging_2161/klagomål/A 42123-2023 FSC-klagomål.docx", "A 42123-2023")</f>
        <v/>
      </c>
      <c r="W287">
        <f>HYPERLINK("https://klasma.github.io/Logging_2161/klagomålsmail/A 42123-2023 FSC-klagomål mail.docx", "A 42123-2023")</f>
        <v/>
      </c>
      <c r="X287">
        <f>HYPERLINK("https://klasma.github.io/Logging_2161/tillsyn/A 42123-2023 tillsynsbegäran.docx", "A 42123-2023")</f>
        <v/>
      </c>
      <c r="Y287">
        <f>HYPERLINK("https://klasma.github.io/Logging_2161/tillsynsmail/A 42123-2023 tillsynsbegäran mail.docx", "A 42123-2023")</f>
        <v/>
      </c>
    </row>
    <row r="288" ht="15" customHeight="1">
      <c r="A288" t="inlineStr">
        <is>
          <t>A 42056-2023</t>
        </is>
      </c>
      <c r="B288" s="1" t="n">
        <v>45177</v>
      </c>
      <c r="C288" s="1" t="n">
        <v>45578</v>
      </c>
      <c r="D288" t="inlineStr">
        <is>
          <t>GÄVLEBORGS LÄN</t>
        </is>
      </c>
      <c r="E288" t="inlineStr">
        <is>
          <t>OVANÅKER</t>
        </is>
      </c>
      <c r="G288" t="n">
        <v>14.7</v>
      </c>
      <c r="H288" t="n">
        <v>0</v>
      </c>
      <c r="I288" t="n">
        <v>1</v>
      </c>
      <c r="J288" t="n">
        <v>1</v>
      </c>
      <c r="K288" t="n">
        <v>0</v>
      </c>
      <c r="L288" t="n">
        <v>0</v>
      </c>
      <c r="M288" t="n">
        <v>0</v>
      </c>
      <c r="N288" t="n">
        <v>0</v>
      </c>
      <c r="O288" t="n">
        <v>1</v>
      </c>
      <c r="P288" t="n">
        <v>0</v>
      </c>
      <c r="Q288" t="n">
        <v>2</v>
      </c>
      <c r="R288" s="2" t="inlineStr">
        <is>
          <t>Lunglav
Korallblylav</t>
        </is>
      </c>
      <c r="S288">
        <f>HYPERLINK("https://klasma.github.io/Logging_2121/artfynd/A 42056-2023 artfynd.xlsx", "A 42056-2023")</f>
        <v/>
      </c>
      <c r="T288">
        <f>HYPERLINK("https://klasma.github.io/Logging_2121/kartor/A 42056-2023 karta.png", "A 42056-2023")</f>
        <v/>
      </c>
      <c r="V288">
        <f>HYPERLINK("https://klasma.github.io/Logging_2121/klagomål/A 42056-2023 FSC-klagomål.docx", "A 42056-2023")</f>
        <v/>
      </c>
      <c r="W288">
        <f>HYPERLINK("https://klasma.github.io/Logging_2121/klagomålsmail/A 42056-2023 FSC-klagomål mail.docx", "A 42056-2023")</f>
        <v/>
      </c>
      <c r="X288">
        <f>HYPERLINK("https://klasma.github.io/Logging_2121/tillsyn/A 42056-2023 tillsynsbegäran.docx", "A 42056-2023")</f>
        <v/>
      </c>
      <c r="Y288">
        <f>HYPERLINK("https://klasma.github.io/Logging_2121/tillsynsmail/A 42056-2023 tillsynsbegäran mail.docx", "A 42056-2023")</f>
        <v/>
      </c>
    </row>
    <row r="289" ht="15" customHeight="1">
      <c r="A289" t="inlineStr">
        <is>
          <t>A 43723-2023</t>
        </is>
      </c>
      <c r="B289" s="1" t="n">
        <v>45187</v>
      </c>
      <c r="C289" s="1" t="n">
        <v>45578</v>
      </c>
      <c r="D289" t="inlineStr">
        <is>
          <t>GÄVLEBORGS LÄN</t>
        </is>
      </c>
      <c r="E289" t="inlineStr">
        <is>
          <t>LJUSDAL</t>
        </is>
      </c>
      <c r="F289" t="inlineStr">
        <is>
          <t>Sveaskog</t>
        </is>
      </c>
      <c r="G289" t="n">
        <v>5.1</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43723-2023 artfynd.xlsx", "A 43723-2023")</f>
        <v/>
      </c>
      <c r="T289">
        <f>HYPERLINK("https://klasma.github.io/Logging_2161/kartor/A 43723-2023 karta.png", "A 43723-2023")</f>
        <v/>
      </c>
      <c r="V289">
        <f>HYPERLINK("https://klasma.github.io/Logging_2161/klagomål/A 43723-2023 FSC-klagomål.docx", "A 43723-2023")</f>
        <v/>
      </c>
      <c r="W289">
        <f>HYPERLINK("https://klasma.github.io/Logging_2161/klagomålsmail/A 43723-2023 FSC-klagomål mail.docx", "A 43723-2023")</f>
        <v/>
      </c>
      <c r="X289">
        <f>HYPERLINK("https://klasma.github.io/Logging_2161/tillsyn/A 43723-2023 tillsynsbegäran.docx", "A 43723-2023")</f>
        <v/>
      </c>
      <c r="Y289">
        <f>HYPERLINK("https://klasma.github.io/Logging_2161/tillsynsmail/A 43723-2023 tillsynsbegäran mail.docx", "A 43723-2023")</f>
        <v/>
      </c>
    </row>
    <row r="290" ht="15" customHeight="1">
      <c r="A290" t="inlineStr">
        <is>
          <t>A 45153-2023</t>
        </is>
      </c>
      <c r="B290" s="1" t="n">
        <v>45191</v>
      </c>
      <c r="C290" s="1" t="n">
        <v>45578</v>
      </c>
      <c r="D290" t="inlineStr">
        <is>
          <t>GÄVLEBORGS LÄN</t>
        </is>
      </c>
      <c r="E290" t="inlineStr">
        <is>
          <t>HUDIKSVALL</t>
        </is>
      </c>
      <c r="G290" t="n">
        <v>0.6</v>
      </c>
      <c r="H290" t="n">
        <v>1</v>
      </c>
      <c r="I290" t="n">
        <v>1</v>
      </c>
      <c r="J290" t="n">
        <v>0</v>
      </c>
      <c r="K290" t="n">
        <v>0</v>
      </c>
      <c r="L290" t="n">
        <v>0</v>
      </c>
      <c r="M290" t="n">
        <v>0</v>
      </c>
      <c r="N290" t="n">
        <v>0</v>
      </c>
      <c r="O290" t="n">
        <v>0</v>
      </c>
      <c r="P290" t="n">
        <v>0</v>
      </c>
      <c r="Q290" t="n">
        <v>2</v>
      </c>
      <c r="R290" s="2" t="inlineStr">
        <is>
          <t>Tibast
Skogsödla</t>
        </is>
      </c>
      <c r="S290">
        <f>HYPERLINK("https://klasma.github.io/Logging_2184/artfynd/A 45153-2023 artfynd.xlsx", "A 45153-2023")</f>
        <v/>
      </c>
      <c r="T290">
        <f>HYPERLINK("https://klasma.github.io/Logging_2184/kartor/A 45153-2023 karta.png", "A 45153-2023")</f>
        <v/>
      </c>
      <c r="V290">
        <f>HYPERLINK("https://klasma.github.io/Logging_2184/klagomål/A 45153-2023 FSC-klagomål.docx", "A 45153-2023")</f>
        <v/>
      </c>
      <c r="W290">
        <f>HYPERLINK("https://klasma.github.io/Logging_2184/klagomålsmail/A 45153-2023 FSC-klagomål mail.docx", "A 45153-2023")</f>
        <v/>
      </c>
      <c r="X290">
        <f>HYPERLINK("https://klasma.github.io/Logging_2184/tillsyn/A 45153-2023 tillsynsbegäran.docx", "A 45153-2023")</f>
        <v/>
      </c>
      <c r="Y290">
        <f>HYPERLINK("https://klasma.github.io/Logging_2184/tillsynsmail/A 45153-2023 tillsynsbegäran mail.docx", "A 45153-2023")</f>
        <v/>
      </c>
    </row>
    <row r="291" ht="15" customHeight="1">
      <c r="A291" t="inlineStr">
        <is>
          <t>A 45876-2023</t>
        </is>
      </c>
      <c r="B291" s="1" t="n">
        <v>45195</v>
      </c>
      <c r="C291" s="1" t="n">
        <v>45578</v>
      </c>
      <c r="D291" t="inlineStr">
        <is>
          <t>GÄVLEBORGS LÄN</t>
        </is>
      </c>
      <c r="E291" t="inlineStr">
        <is>
          <t>HUDIKSVALL</t>
        </is>
      </c>
      <c r="G291" t="n">
        <v>3.9</v>
      </c>
      <c r="H291" t="n">
        <v>2</v>
      </c>
      <c r="I291" t="n">
        <v>0</v>
      </c>
      <c r="J291" t="n">
        <v>0</v>
      </c>
      <c r="K291" t="n">
        <v>0</v>
      </c>
      <c r="L291" t="n">
        <v>0</v>
      </c>
      <c r="M291" t="n">
        <v>0</v>
      </c>
      <c r="N291" t="n">
        <v>0</v>
      </c>
      <c r="O291" t="n">
        <v>0</v>
      </c>
      <c r="P291" t="n">
        <v>0</v>
      </c>
      <c r="Q291" t="n">
        <v>2</v>
      </c>
      <c r="R291" s="2" t="inlineStr">
        <is>
          <t>Blåsippa
Revlummer</t>
        </is>
      </c>
      <c r="S291">
        <f>HYPERLINK("https://klasma.github.io/Logging_2184/artfynd/A 45876-2023 artfynd.xlsx", "A 45876-2023")</f>
        <v/>
      </c>
      <c r="T291">
        <f>HYPERLINK("https://klasma.github.io/Logging_2184/kartor/A 45876-2023 karta.png", "A 45876-2023")</f>
        <v/>
      </c>
      <c r="V291">
        <f>HYPERLINK("https://klasma.github.io/Logging_2184/klagomål/A 45876-2023 FSC-klagomål.docx", "A 45876-2023")</f>
        <v/>
      </c>
      <c r="W291">
        <f>HYPERLINK("https://klasma.github.io/Logging_2184/klagomålsmail/A 45876-2023 FSC-klagomål mail.docx", "A 45876-2023")</f>
        <v/>
      </c>
      <c r="X291">
        <f>HYPERLINK("https://klasma.github.io/Logging_2184/tillsyn/A 45876-2023 tillsynsbegäran.docx", "A 45876-2023")</f>
        <v/>
      </c>
      <c r="Y291">
        <f>HYPERLINK("https://klasma.github.io/Logging_2184/tillsynsmail/A 45876-2023 tillsynsbegäran mail.docx", "A 45876-2023")</f>
        <v/>
      </c>
    </row>
    <row r="292" ht="15" customHeight="1">
      <c r="A292" t="inlineStr">
        <is>
          <t>A 47719-2023</t>
        </is>
      </c>
      <c r="B292" s="1" t="n">
        <v>45203</v>
      </c>
      <c r="C292" s="1" t="n">
        <v>45578</v>
      </c>
      <c r="D292" t="inlineStr">
        <is>
          <t>GÄVLEBORGS LÄN</t>
        </is>
      </c>
      <c r="E292" t="inlineStr">
        <is>
          <t>LJUSDAL</t>
        </is>
      </c>
      <c r="F292" t="inlineStr">
        <is>
          <t>Sveaskog</t>
        </is>
      </c>
      <c r="G292" t="n">
        <v>5.1</v>
      </c>
      <c r="H292" t="n">
        <v>0</v>
      </c>
      <c r="I292" t="n">
        <v>0</v>
      </c>
      <c r="J292" t="n">
        <v>2</v>
      </c>
      <c r="K292" t="n">
        <v>0</v>
      </c>
      <c r="L292" t="n">
        <v>0</v>
      </c>
      <c r="M292" t="n">
        <v>0</v>
      </c>
      <c r="N292" t="n">
        <v>0</v>
      </c>
      <c r="O292" t="n">
        <v>2</v>
      </c>
      <c r="P292" t="n">
        <v>0</v>
      </c>
      <c r="Q292" t="n">
        <v>2</v>
      </c>
      <c r="R292" s="2" t="inlineStr">
        <is>
          <t>Kolflarnlav
Orange taggsvamp</t>
        </is>
      </c>
      <c r="S292">
        <f>HYPERLINK("https://klasma.github.io/Logging_2161/artfynd/A 47719-2023 artfynd.xlsx", "A 47719-2023")</f>
        <v/>
      </c>
      <c r="T292">
        <f>HYPERLINK("https://klasma.github.io/Logging_2161/kartor/A 47719-2023 karta.png", "A 47719-2023")</f>
        <v/>
      </c>
      <c r="V292">
        <f>HYPERLINK("https://klasma.github.io/Logging_2161/klagomål/A 47719-2023 FSC-klagomål.docx", "A 47719-2023")</f>
        <v/>
      </c>
      <c r="W292">
        <f>HYPERLINK("https://klasma.github.io/Logging_2161/klagomålsmail/A 47719-2023 FSC-klagomål mail.docx", "A 47719-2023")</f>
        <v/>
      </c>
      <c r="X292">
        <f>HYPERLINK("https://klasma.github.io/Logging_2161/tillsyn/A 47719-2023 tillsynsbegäran.docx", "A 47719-2023")</f>
        <v/>
      </c>
      <c r="Y292">
        <f>HYPERLINK("https://klasma.github.io/Logging_2161/tillsynsmail/A 47719-2023 tillsynsbegäran mail.docx", "A 47719-2023")</f>
        <v/>
      </c>
    </row>
    <row r="293" ht="15" customHeight="1">
      <c r="A293" t="inlineStr">
        <is>
          <t>A 51410-2023</t>
        </is>
      </c>
      <c r="B293" s="1" t="n">
        <v>45219</v>
      </c>
      <c r="C293" s="1" t="n">
        <v>45578</v>
      </c>
      <c r="D293" t="inlineStr">
        <is>
          <t>GÄVLEBORGS LÄN</t>
        </is>
      </c>
      <c r="E293" t="inlineStr">
        <is>
          <t>LJUSDAL</t>
        </is>
      </c>
      <c r="F293" t="inlineStr">
        <is>
          <t>Sveaskog</t>
        </is>
      </c>
      <c r="G293" t="n">
        <v>12.9</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51410-2023 artfynd.xlsx", "A 51410-2023")</f>
        <v/>
      </c>
      <c r="T293">
        <f>HYPERLINK("https://klasma.github.io/Logging_2161/kartor/A 51410-2023 karta.png", "A 51410-2023")</f>
        <v/>
      </c>
      <c r="V293">
        <f>HYPERLINK("https://klasma.github.io/Logging_2161/klagomål/A 51410-2023 FSC-klagomål.docx", "A 51410-2023")</f>
        <v/>
      </c>
      <c r="W293">
        <f>HYPERLINK("https://klasma.github.io/Logging_2161/klagomålsmail/A 51410-2023 FSC-klagomål mail.docx", "A 51410-2023")</f>
        <v/>
      </c>
      <c r="X293">
        <f>HYPERLINK("https://klasma.github.io/Logging_2161/tillsyn/A 51410-2023 tillsynsbegäran.docx", "A 51410-2023")</f>
        <v/>
      </c>
      <c r="Y293">
        <f>HYPERLINK("https://klasma.github.io/Logging_2161/tillsynsmail/A 51410-2023 tillsynsbegäran mail.docx", "A 51410-2023")</f>
        <v/>
      </c>
    </row>
    <row r="294" ht="15" customHeight="1">
      <c r="A294" t="inlineStr">
        <is>
          <t>A 51222-2023</t>
        </is>
      </c>
      <c r="B294" s="1" t="n">
        <v>45219</v>
      </c>
      <c r="C294" s="1" t="n">
        <v>45578</v>
      </c>
      <c r="D294" t="inlineStr">
        <is>
          <t>GÄVLEBORGS LÄN</t>
        </is>
      </c>
      <c r="E294" t="inlineStr">
        <is>
          <t>LJUSDAL</t>
        </is>
      </c>
      <c r="F294" t="inlineStr">
        <is>
          <t>Sveaskog</t>
        </is>
      </c>
      <c r="G294" t="n">
        <v>6.5</v>
      </c>
      <c r="H294" t="n">
        <v>1</v>
      </c>
      <c r="I294" t="n">
        <v>0</v>
      </c>
      <c r="J294" t="n">
        <v>1</v>
      </c>
      <c r="K294" t="n">
        <v>0</v>
      </c>
      <c r="L294" t="n">
        <v>0</v>
      </c>
      <c r="M294" t="n">
        <v>0</v>
      </c>
      <c r="N294" t="n">
        <v>0</v>
      </c>
      <c r="O294" t="n">
        <v>1</v>
      </c>
      <c r="P294" t="n">
        <v>0</v>
      </c>
      <c r="Q294" t="n">
        <v>2</v>
      </c>
      <c r="R294" s="2" t="inlineStr">
        <is>
          <t>Lunglav
Lavskrika</t>
        </is>
      </c>
      <c r="S294">
        <f>HYPERLINK("https://klasma.github.io/Logging_2161/artfynd/A 51222-2023 artfynd.xlsx", "A 51222-2023")</f>
        <v/>
      </c>
      <c r="T294">
        <f>HYPERLINK("https://klasma.github.io/Logging_2161/kartor/A 51222-2023 karta.png", "A 51222-2023")</f>
        <v/>
      </c>
      <c r="V294">
        <f>HYPERLINK("https://klasma.github.io/Logging_2161/klagomål/A 51222-2023 FSC-klagomål.docx", "A 51222-2023")</f>
        <v/>
      </c>
      <c r="W294">
        <f>HYPERLINK("https://klasma.github.io/Logging_2161/klagomålsmail/A 51222-2023 FSC-klagomål mail.docx", "A 51222-2023")</f>
        <v/>
      </c>
      <c r="X294">
        <f>HYPERLINK("https://klasma.github.io/Logging_2161/tillsyn/A 51222-2023 tillsynsbegäran.docx", "A 51222-2023")</f>
        <v/>
      </c>
      <c r="Y294">
        <f>HYPERLINK("https://klasma.github.io/Logging_2161/tillsynsmail/A 51222-2023 tillsynsbegäran mail.docx", "A 51222-2023")</f>
        <v/>
      </c>
      <c r="Z294">
        <f>HYPERLINK("https://klasma.github.io/Logging_2161/fåglar/A 51222-2023 prioriterade fågelarter.docx", "A 51222-2023")</f>
        <v/>
      </c>
    </row>
    <row r="295" ht="15" customHeight="1">
      <c r="A295" t="inlineStr">
        <is>
          <t>A 58349-2023</t>
        </is>
      </c>
      <c r="B295" s="1" t="n">
        <v>45250</v>
      </c>
      <c r="C295" s="1" t="n">
        <v>45578</v>
      </c>
      <c r="D295" t="inlineStr">
        <is>
          <t>GÄVLEBORGS LÄN</t>
        </is>
      </c>
      <c r="E295" t="inlineStr">
        <is>
          <t>OCKELBO</t>
        </is>
      </c>
      <c r="F295" t="inlineStr">
        <is>
          <t>Bergvik skog väst AB</t>
        </is>
      </c>
      <c r="G295" t="n">
        <v>2.9</v>
      </c>
      <c r="H295" t="n">
        <v>1</v>
      </c>
      <c r="I295" t="n">
        <v>0</v>
      </c>
      <c r="J295" t="n">
        <v>1</v>
      </c>
      <c r="K295" t="n">
        <v>0</v>
      </c>
      <c r="L295" t="n">
        <v>0</v>
      </c>
      <c r="M295" t="n">
        <v>0</v>
      </c>
      <c r="N295" t="n">
        <v>0</v>
      </c>
      <c r="O295" t="n">
        <v>1</v>
      </c>
      <c r="P295" t="n">
        <v>0</v>
      </c>
      <c r="Q295" t="n">
        <v>2</v>
      </c>
      <c r="R295" s="2" t="inlineStr">
        <is>
          <t>Blanksvart spiklav
Revlummer</t>
        </is>
      </c>
      <c r="S295">
        <f>HYPERLINK("https://klasma.github.io/Logging_2101/artfynd/A 58349-2023 artfynd.xlsx", "A 58349-2023")</f>
        <v/>
      </c>
      <c r="T295">
        <f>HYPERLINK("https://klasma.github.io/Logging_2101/kartor/A 58349-2023 karta.png", "A 58349-2023")</f>
        <v/>
      </c>
      <c r="V295">
        <f>HYPERLINK("https://klasma.github.io/Logging_2101/klagomål/A 58349-2023 FSC-klagomål.docx", "A 58349-2023")</f>
        <v/>
      </c>
      <c r="W295">
        <f>HYPERLINK("https://klasma.github.io/Logging_2101/klagomålsmail/A 58349-2023 FSC-klagomål mail.docx", "A 58349-2023")</f>
        <v/>
      </c>
      <c r="X295">
        <f>HYPERLINK("https://klasma.github.io/Logging_2101/tillsyn/A 58349-2023 tillsynsbegäran.docx", "A 58349-2023")</f>
        <v/>
      </c>
      <c r="Y295">
        <f>HYPERLINK("https://klasma.github.io/Logging_2101/tillsynsmail/A 58349-2023 tillsynsbegäran mail.docx", "A 58349-2023")</f>
        <v/>
      </c>
    </row>
    <row r="296" ht="15" customHeight="1">
      <c r="A296" t="inlineStr">
        <is>
          <t>A 60875-2023</t>
        </is>
      </c>
      <c r="B296" s="1" t="n">
        <v>45261</v>
      </c>
      <c r="C296" s="1" t="n">
        <v>45578</v>
      </c>
      <c r="D296" t="inlineStr">
        <is>
          <t>GÄVLEBORGS LÄN</t>
        </is>
      </c>
      <c r="E296" t="inlineStr">
        <is>
          <t>NORDANSTIG</t>
        </is>
      </c>
      <c r="F296" t="inlineStr">
        <is>
          <t>Holmen skog AB</t>
        </is>
      </c>
      <c r="G296" t="n">
        <v>1.3</v>
      </c>
      <c r="H296" t="n">
        <v>0</v>
      </c>
      <c r="I296" t="n">
        <v>2</v>
      </c>
      <c r="J296" t="n">
        <v>0</v>
      </c>
      <c r="K296" t="n">
        <v>0</v>
      </c>
      <c r="L296" t="n">
        <v>0</v>
      </c>
      <c r="M296" t="n">
        <v>0</v>
      </c>
      <c r="N296" t="n">
        <v>0</v>
      </c>
      <c r="O296" t="n">
        <v>0</v>
      </c>
      <c r="P296" t="n">
        <v>0</v>
      </c>
      <c r="Q296" t="n">
        <v>2</v>
      </c>
      <c r="R296" s="2" t="inlineStr">
        <is>
          <t>Skogshakmossa
Strutbräken</t>
        </is>
      </c>
      <c r="S296">
        <f>HYPERLINK("https://klasma.github.io/Logging_2132/artfynd/A 60875-2023 artfynd.xlsx", "A 60875-2023")</f>
        <v/>
      </c>
      <c r="T296">
        <f>HYPERLINK("https://klasma.github.io/Logging_2132/kartor/A 60875-2023 karta.png", "A 60875-2023")</f>
        <v/>
      </c>
      <c r="V296">
        <f>HYPERLINK("https://klasma.github.io/Logging_2132/klagomål/A 60875-2023 FSC-klagomål.docx", "A 60875-2023")</f>
        <v/>
      </c>
      <c r="W296">
        <f>HYPERLINK("https://klasma.github.io/Logging_2132/klagomålsmail/A 60875-2023 FSC-klagomål mail.docx", "A 60875-2023")</f>
        <v/>
      </c>
      <c r="X296">
        <f>HYPERLINK("https://klasma.github.io/Logging_2132/tillsyn/A 60875-2023 tillsynsbegäran.docx", "A 60875-2023")</f>
        <v/>
      </c>
      <c r="Y296">
        <f>HYPERLINK("https://klasma.github.io/Logging_2132/tillsynsmail/A 60875-2023 tillsynsbegäran mail.docx", "A 60875-2023")</f>
        <v/>
      </c>
    </row>
    <row r="297" ht="15" customHeight="1">
      <c r="A297" t="inlineStr">
        <is>
          <t>A 61554-2023</t>
        </is>
      </c>
      <c r="B297" s="1" t="n">
        <v>45265</v>
      </c>
      <c r="C297" s="1" t="n">
        <v>45578</v>
      </c>
      <c r="D297" t="inlineStr">
        <is>
          <t>GÄVLEBORGS LÄN</t>
        </is>
      </c>
      <c r="E297" t="inlineStr">
        <is>
          <t>SANDVIKEN</t>
        </is>
      </c>
      <c r="G297" t="n">
        <v>4.5</v>
      </c>
      <c r="H297" t="n">
        <v>0</v>
      </c>
      <c r="I297" t="n">
        <v>1</v>
      </c>
      <c r="J297" t="n">
        <v>1</v>
      </c>
      <c r="K297" t="n">
        <v>0</v>
      </c>
      <c r="L297" t="n">
        <v>0</v>
      </c>
      <c r="M297" t="n">
        <v>0</v>
      </c>
      <c r="N297" t="n">
        <v>0</v>
      </c>
      <c r="O297" t="n">
        <v>1</v>
      </c>
      <c r="P297" t="n">
        <v>0</v>
      </c>
      <c r="Q297" t="n">
        <v>2</v>
      </c>
      <c r="R297" s="2" t="inlineStr">
        <is>
          <t>Garnlav
Nästlav</t>
        </is>
      </c>
      <c r="S297">
        <f>HYPERLINK("https://klasma.github.io/Logging_2181/artfynd/A 61554-2023 artfynd.xlsx", "A 61554-2023")</f>
        <v/>
      </c>
      <c r="T297">
        <f>HYPERLINK("https://klasma.github.io/Logging_2181/kartor/A 61554-2023 karta.png", "A 61554-2023")</f>
        <v/>
      </c>
      <c r="V297">
        <f>HYPERLINK("https://klasma.github.io/Logging_2181/klagomål/A 61554-2023 FSC-klagomål.docx", "A 61554-2023")</f>
        <v/>
      </c>
      <c r="W297">
        <f>HYPERLINK("https://klasma.github.io/Logging_2181/klagomålsmail/A 61554-2023 FSC-klagomål mail.docx", "A 61554-2023")</f>
        <v/>
      </c>
      <c r="X297">
        <f>HYPERLINK("https://klasma.github.io/Logging_2181/tillsyn/A 61554-2023 tillsynsbegäran.docx", "A 61554-2023")</f>
        <v/>
      </c>
      <c r="Y297">
        <f>HYPERLINK("https://klasma.github.io/Logging_2181/tillsynsmail/A 61554-2023 tillsynsbegäran mail.docx", "A 61554-2023")</f>
        <v/>
      </c>
    </row>
    <row r="298" ht="15" customHeight="1">
      <c r="A298" t="inlineStr">
        <is>
          <t>A 64567-2023</t>
        </is>
      </c>
      <c r="B298" s="1" t="n">
        <v>45281</v>
      </c>
      <c r="C298" s="1" t="n">
        <v>45578</v>
      </c>
      <c r="D298" t="inlineStr">
        <is>
          <t>GÄVLEBORGS LÄN</t>
        </is>
      </c>
      <c r="E298" t="inlineStr">
        <is>
          <t>GÄVLE</t>
        </is>
      </c>
      <c r="G298" t="n">
        <v>2.6</v>
      </c>
      <c r="H298" t="n">
        <v>0</v>
      </c>
      <c r="I298" t="n">
        <v>1</v>
      </c>
      <c r="J298" t="n">
        <v>0</v>
      </c>
      <c r="K298" t="n">
        <v>0</v>
      </c>
      <c r="L298" t="n">
        <v>1</v>
      </c>
      <c r="M298" t="n">
        <v>0</v>
      </c>
      <c r="N298" t="n">
        <v>0</v>
      </c>
      <c r="O298" t="n">
        <v>1</v>
      </c>
      <c r="P298" t="n">
        <v>1</v>
      </c>
      <c r="Q298" t="n">
        <v>2</v>
      </c>
      <c r="R298" s="2" t="inlineStr">
        <is>
          <t>Ask
Jättesvampmal</t>
        </is>
      </c>
      <c r="S298">
        <f>HYPERLINK("https://klasma.github.io/Logging_2180/artfynd/A 64567-2023 artfynd.xlsx", "A 64567-2023")</f>
        <v/>
      </c>
      <c r="T298">
        <f>HYPERLINK("https://klasma.github.io/Logging_2180/kartor/A 64567-2023 karta.png", "A 64567-2023")</f>
        <v/>
      </c>
      <c r="V298">
        <f>HYPERLINK("https://klasma.github.io/Logging_2180/klagomål/A 64567-2023 FSC-klagomål.docx", "A 64567-2023")</f>
        <v/>
      </c>
      <c r="W298">
        <f>HYPERLINK("https://klasma.github.io/Logging_2180/klagomålsmail/A 64567-2023 FSC-klagomål mail.docx", "A 64567-2023")</f>
        <v/>
      </c>
      <c r="X298">
        <f>HYPERLINK("https://klasma.github.io/Logging_2180/tillsyn/A 64567-2023 tillsynsbegäran.docx", "A 64567-2023")</f>
        <v/>
      </c>
      <c r="Y298">
        <f>HYPERLINK("https://klasma.github.io/Logging_2180/tillsynsmail/A 64567-2023 tillsynsbegäran mail.docx", "A 64567-2023")</f>
        <v/>
      </c>
    </row>
    <row r="299" ht="15" customHeight="1">
      <c r="A299" t="inlineStr">
        <is>
          <t>A 1196-2024</t>
        </is>
      </c>
      <c r="B299" s="1" t="n">
        <v>45302</v>
      </c>
      <c r="C299" s="1" t="n">
        <v>45578</v>
      </c>
      <c r="D299" t="inlineStr">
        <is>
          <t>GÄVLEBORGS LÄN</t>
        </is>
      </c>
      <c r="E299" t="inlineStr">
        <is>
          <t>OVANÅKER</t>
        </is>
      </c>
      <c r="F299" t="inlineStr">
        <is>
          <t>Bergvik skog väst AB</t>
        </is>
      </c>
      <c r="G299" t="n">
        <v>3.7</v>
      </c>
      <c r="H299" t="n">
        <v>1</v>
      </c>
      <c r="I299" t="n">
        <v>1</v>
      </c>
      <c r="J299" t="n">
        <v>0</v>
      </c>
      <c r="K299" t="n">
        <v>0</v>
      </c>
      <c r="L299" t="n">
        <v>0</v>
      </c>
      <c r="M299" t="n">
        <v>0</v>
      </c>
      <c r="N299" t="n">
        <v>0</v>
      </c>
      <c r="O299" t="n">
        <v>0</v>
      </c>
      <c r="P299" t="n">
        <v>0</v>
      </c>
      <c r="Q299" t="n">
        <v>2</v>
      </c>
      <c r="R299" s="2" t="inlineStr">
        <is>
          <t>Mörk husmossa
Blåsippa</t>
        </is>
      </c>
      <c r="S299">
        <f>HYPERLINK("https://klasma.github.io/Logging_2121/artfynd/A 1196-2024 artfynd.xlsx", "A 1196-2024")</f>
        <v/>
      </c>
      <c r="T299">
        <f>HYPERLINK("https://klasma.github.io/Logging_2121/kartor/A 1196-2024 karta.png", "A 1196-2024")</f>
        <v/>
      </c>
      <c r="V299">
        <f>HYPERLINK("https://klasma.github.io/Logging_2121/klagomål/A 1196-2024 FSC-klagomål.docx", "A 1196-2024")</f>
        <v/>
      </c>
      <c r="W299">
        <f>HYPERLINK("https://klasma.github.io/Logging_2121/klagomålsmail/A 1196-2024 FSC-klagomål mail.docx", "A 1196-2024")</f>
        <v/>
      </c>
      <c r="X299">
        <f>HYPERLINK("https://klasma.github.io/Logging_2121/tillsyn/A 1196-2024 tillsynsbegäran.docx", "A 1196-2024")</f>
        <v/>
      </c>
      <c r="Y299">
        <f>HYPERLINK("https://klasma.github.io/Logging_2121/tillsynsmail/A 1196-2024 tillsynsbegäran mail.docx", "A 1196-2024")</f>
        <v/>
      </c>
    </row>
    <row r="300" ht="15" customHeight="1">
      <c r="A300" t="inlineStr">
        <is>
          <t>A 4081-2024</t>
        </is>
      </c>
      <c r="B300" s="1" t="n">
        <v>45323</v>
      </c>
      <c r="C300" s="1" t="n">
        <v>45578</v>
      </c>
      <c r="D300" t="inlineStr">
        <is>
          <t>GÄVLEBORGS LÄN</t>
        </is>
      </c>
      <c r="E300" t="inlineStr">
        <is>
          <t>OVANÅKER</t>
        </is>
      </c>
      <c r="G300" t="n">
        <v>3.3</v>
      </c>
      <c r="H300" t="n">
        <v>0</v>
      </c>
      <c r="I300" t="n">
        <v>0</v>
      </c>
      <c r="J300" t="n">
        <v>2</v>
      </c>
      <c r="K300" t="n">
        <v>0</v>
      </c>
      <c r="L300" t="n">
        <v>0</v>
      </c>
      <c r="M300" t="n">
        <v>0</v>
      </c>
      <c r="N300" t="n">
        <v>0</v>
      </c>
      <c r="O300" t="n">
        <v>2</v>
      </c>
      <c r="P300" t="n">
        <v>0</v>
      </c>
      <c r="Q300" t="n">
        <v>2</v>
      </c>
      <c r="R300" s="2" t="inlineStr">
        <is>
          <t>Rosenticka
Ullticka</t>
        </is>
      </c>
      <c r="S300">
        <f>HYPERLINK("https://klasma.github.io/Logging_2121/artfynd/A 4081-2024 artfynd.xlsx", "A 4081-2024")</f>
        <v/>
      </c>
      <c r="T300">
        <f>HYPERLINK("https://klasma.github.io/Logging_2121/kartor/A 4081-2024 karta.png", "A 4081-2024")</f>
        <v/>
      </c>
      <c r="V300">
        <f>HYPERLINK("https://klasma.github.io/Logging_2121/klagomål/A 4081-2024 FSC-klagomål.docx", "A 4081-2024")</f>
        <v/>
      </c>
      <c r="W300">
        <f>HYPERLINK("https://klasma.github.io/Logging_2121/klagomålsmail/A 4081-2024 FSC-klagomål mail.docx", "A 4081-2024")</f>
        <v/>
      </c>
      <c r="X300">
        <f>HYPERLINK("https://klasma.github.io/Logging_2121/tillsyn/A 4081-2024 tillsynsbegäran.docx", "A 4081-2024")</f>
        <v/>
      </c>
      <c r="Y300">
        <f>HYPERLINK("https://klasma.github.io/Logging_2121/tillsynsmail/A 4081-2024 tillsynsbegäran mail.docx", "A 4081-2024")</f>
        <v/>
      </c>
    </row>
    <row r="301" ht="15" customHeight="1">
      <c r="A301" t="inlineStr">
        <is>
          <t>A 6473-2024</t>
        </is>
      </c>
      <c r="B301" s="1" t="n">
        <v>45338</v>
      </c>
      <c r="C301" s="1" t="n">
        <v>45578</v>
      </c>
      <c r="D301" t="inlineStr">
        <is>
          <t>GÄVLEBORGS LÄN</t>
        </is>
      </c>
      <c r="E301" t="inlineStr">
        <is>
          <t>GÄVLE</t>
        </is>
      </c>
      <c r="G301" t="n">
        <v>4</v>
      </c>
      <c r="H301" t="n">
        <v>1</v>
      </c>
      <c r="I301" t="n">
        <v>1</v>
      </c>
      <c r="J301" t="n">
        <v>0</v>
      </c>
      <c r="K301" t="n">
        <v>0</v>
      </c>
      <c r="L301" t="n">
        <v>0</v>
      </c>
      <c r="M301" t="n">
        <v>0</v>
      </c>
      <c r="N301" t="n">
        <v>0</v>
      </c>
      <c r="O301" t="n">
        <v>0</v>
      </c>
      <c r="P301" t="n">
        <v>0</v>
      </c>
      <c r="Q301" t="n">
        <v>2</v>
      </c>
      <c r="R301" s="2" t="inlineStr">
        <is>
          <t>Tibast
Nattviol</t>
        </is>
      </c>
      <c r="S301">
        <f>HYPERLINK("https://klasma.github.io/Logging_2180/artfynd/A 6473-2024 artfynd.xlsx", "A 6473-2024")</f>
        <v/>
      </c>
      <c r="T301">
        <f>HYPERLINK("https://klasma.github.io/Logging_2180/kartor/A 6473-2024 karta.png", "A 6473-2024")</f>
        <v/>
      </c>
      <c r="V301">
        <f>HYPERLINK("https://klasma.github.io/Logging_2180/klagomål/A 6473-2024 FSC-klagomål.docx", "A 6473-2024")</f>
        <v/>
      </c>
      <c r="W301">
        <f>HYPERLINK("https://klasma.github.io/Logging_2180/klagomålsmail/A 6473-2024 FSC-klagomål mail.docx", "A 6473-2024")</f>
        <v/>
      </c>
      <c r="X301">
        <f>HYPERLINK("https://klasma.github.io/Logging_2180/tillsyn/A 6473-2024 tillsynsbegäran.docx", "A 6473-2024")</f>
        <v/>
      </c>
      <c r="Y301">
        <f>HYPERLINK("https://klasma.github.io/Logging_2180/tillsynsmail/A 6473-2024 tillsynsbegäran mail.docx", "A 6473-2024")</f>
        <v/>
      </c>
    </row>
    <row r="302" ht="15" customHeight="1">
      <c r="A302" t="inlineStr">
        <is>
          <t>A 7322-2024</t>
        </is>
      </c>
      <c r="B302" s="1" t="n">
        <v>45345</v>
      </c>
      <c r="C302" s="1" t="n">
        <v>45578</v>
      </c>
      <c r="D302" t="inlineStr">
        <is>
          <t>GÄVLEBORGS LÄN</t>
        </is>
      </c>
      <c r="E302" t="inlineStr">
        <is>
          <t>HUDIKSVALL</t>
        </is>
      </c>
      <c r="F302" t="inlineStr">
        <is>
          <t>Holmen skog AB</t>
        </is>
      </c>
      <c r="G302" t="n">
        <v>5.3</v>
      </c>
      <c r="H302" t="n">
        <v>0</v>
      </c>
      <c r="I302" t="n">
        <v>0</v>
      </c>
      <c r="J302" t="n">
        <v>2</v>
      </c>
      <c r="K302" t="n">
        <v>0</v>
      </c>
      <c r="L302" t="n">
        <v>0</v>
      </c>
      <c r="M302" t="n">
        <v>0</v>
      </c>
      <c r="N302" t="n">
        <v>0</v>
      </c>
      <c r="O302" t="n">
        <v>2</v>
      </c>
      <c r="P302" t="n">
        <v>0</v>
      </c>
      <c r="Q302" t="n">
        <v>2</v>
      </c>
      <c r="R302" s="2" t="inlineStr">
        <is>
          <t>Garnlav
Kolflarnlav</t>
        </is>
      </c>
      <c r="S302">
        <f>HYPERLINK("https://klasma.github.io/Logging_2184/artfynd/A 7322-2024 artfynd.xlsx", "A 7322-2024")</f>
        <v/>
      </c>
      <c r="T302">
        <f>HYPERLINK("https://klasma.github.io/Logging_2184/kartor/A 7322-2024 karta.png", "A 7322-2024")</f>
        <v/>
      </c>
      <c r="V302">
        <f>HYPERLINK("https://klasma.github.io/Logging_2184/klagomål/A 7322-2024 FSC-klagomål.docx", "A 7322-2024")</f>
        <v/>
      </c>
      <c r="W302">
        <f>HYPERLINK("https://klasma.github.io/Logging_2184/klagomålsmail/A 7322-2024 FSC-klagomål mail.docx", "A 7322-2024")</f>
        <v/>
      </c>
      <c r="X302">
        <f>HYPERLINK("https://klasma.github.io/Logging_2184/tillsyn/A 7322-2024 tillsynsbegäran.docx", "A 7322-2024")</f>
        <v/>
      </c>
      <c r="Y302">
        <f>HYPERLINK("https://klasma.github.io/Logging_2184/tillsynsmail/A 7322-2024 tillsynsbegäran mail.docx", "A 7322-2024")</f>
        <v/>
      </c>
    </row>
    <row r="303" ht="15" customHeight="1">
      <c r="A303" t="inlineStr">
        <is>
          <t>A 16623-2024</t>
        </is>
      </c>
      <c r="B303" s="1" t="n">
        <v>45408</v>
      </c>
      <c r="C303" s="1" t="n">
        <v>45578</v>
      </c>
      <c r="D303" t="inlineStr">
        <is>
          <t>GÄVLEBORGS LÄN</t>
        </is>
      </c>
      <c r="E303" t="inlineStr">
        <is>
          <t>OCKELBO</t>
        </is>
      </c>
      <c r="F303" t="inlineStr">
        <is>
          <t>Bergvik skog väst AB</t>
        </is>
      </c>
      <c r="G303" t="n">
        <v>4.8</v>
      </c>
      <c r="H303" t="n">
        <v>2</v>
      </c>
      <c r="I303" t="n">
        <v>0</v>
      </c>
      <c r="J303" t="n">
        <v>0</v>
      </c>
      <c r="K303" t="n">
        <v>0</v>
      </c>
      <c r="L303" t="n">
        <v>0</v>
      </c>
      <c r="M303" t="n">
        <v>0</v>
      </c>
      <c r="N303" t="n">
        <v>0</v>
      </c>
      <c r="O303" t="n">
        <v>0</v>
      </c>
      <c r="P303" t="n">
        <v>0</v>
      </c>
      <c r="Q303" t="n">
        <v>2</v>
      </c>
      <c r="R303" s="2" t="inlineStr">
        <is>
          <t>Fläcknycklar
Revlummer</t>
        </is>
      </c>
      <c r="S303">
        <f>HYPERLINK("https://klasma.github.io/Logging_2101/artfynd/A 16623-2024 artfynd.xlsx", "A 16623-2024")</f>
        <v/>
      </c>
      <c r="T303">
        <f>HYPERLINK("https://klasma.github.io/Logging_2101/kartor/A 16623-2024 karta.png", "A 16623-2024")</f>
        <v/>
      </c>
      <c r="V303">
        <f>HYPERLINK("https://klasma.github.io/Logging_2101/klagomål/A 16623-2024 FSC-klagomål.docx", "A 16623-2024")</f>
        <v/>
      </c>
      <c r="W303">
        <f>HYPERLINK("https://klasma.github.io/Logging_2101/klagomålsmail/A 16623-2024 FSC-klagomål mail.docx", "A 16623-2024")</f>
        <v/>
      </c>
      <c r="X303">
        <f>HYPERLINK("https://klasma.github.io/Logging_2101/tillsyn/A 16623-2024 tillsynsbegäran.docx", "A 16623-2024")</f>
        <v/>
      </c>
      <c r="Y303">
        <f>HYPERLINK("https://klasma.github.io/Logging_2101/tillsynsmail/A 16623-2024 tillsynsbegäran mail.docx", "A 16623-2024")</f>
        <v/>
      </c>
    </row>
    <row r="304" ht="15" customHeight="1">
      <c r="A304" t="inlineStr">
        <is>
          <t>A 18098-2024</t>
        </is>
      </c>
      <c r="B304" s="1" t="n">
        <v>45420</v>
      </c>
      <c r="C304" s="1" t="n">
        <v>45578</v>
      </c>
      <c r="D304" t="inlineStr">
        <is>
          <t>GÄVLEBORGS LÄN</t>
        </is>
      </c>
      <c r="E304" t="inlineStr">
        <is>
          <t>LJUSDAL</t>
        </is>
      </c>
      <c r="F304" t="inlineStr">
        <is>
          <t>Sveaskog</t>
        </is>
      </c>
      <c r="G304" t="n">
        <v>3.3</v>
      </c>
      <c r="H304" t="n">
        <v>1</v>
      </c>
      <c r="I304" t="n">
        <v>0</v>
      </c>
      <c r="J304" t="n">
        <v>2</v>
      </c>
      <c r="K304" t="n">
        <v>0</v>
      </c>
      <c r="L304" t="n">
        <v>0</v>
      </c>
      <c r="M304" t="n">
        <v>0</v>
      </c>
      <c r="N304" t="n">
        <v>0</v>
      </c>
      <c r="O304" t="n">
        <v>2</v>
      </c>
      <c r="P304" t="n">
        <v>0</v>
      </c>
      <c r="Q304" t="n">
        <v>2</v>
      </c>
      <c r="R304" s="2" t="inlineStr">
        <is>
          <t>Kolflarnlav
Varglav</t>
        </is>
      </c>
      <c r="S304">
        <f>HYPERLINK("https://klasma.github.io/Logging_2161/artfynd/A 18098-2024 artfynd.xlsx", "A 18098-2024")</f>
        <v/>
      </c>
      <c r="T304">
        <f>HYPERLINK("https://klasma.github.io/Logging_2161/kartor/A 18098-2024 karta.png", "A 18098-2024")</f>
        <v/>
      </c>
      <c r="V304">
        <f>HYPERLINK("https://klasma.github.io/Logging_2161/klagomål/A 18098-2024 FSC-klagomål.docx", "A 18098-2024")</f>
        <v/>
      </c>
      <c r="W304">
        <f>HYPERLINK("https://klasma.github.io/Logging_2161/klagomålsmail/A 18098-2024 FSC-klagomål mail.docx", "A 18098-2024")</f>
        <v/>
      </c>
      <c r="X304">
        <f>HYPERLINK("https://klasma.github.io/Logging_2161/tillsyn/A 18098-2024 tillsynsbegäran.docx", "A 18098-2024")</f>
        <v/>
      </c>
      <c r="Y304">
        <f>HYPERLINK("https://klasma.github.io/Logging_2161/tillsynsmail/A 18098-2024 tillsynsbegäran mail.docx", "A 18098-2024")</f>
        <v/>
      </c>
    </row>
    <row r="305" ht="15" customHeight="1">
      <c r="A305" t="inlineStr">
        <is>
          <t>A 18101-2024</t>
        </is>
      </c>
      <c r="B305" s="1" t="n">
        <v>45420</v>
      </c>
      <c r="C305" s="1" t="n">
        <v>45578</v>
      </c>
      <c r="D305" t="inlineStr">
        <is>
          <t>GÄVLEBORGS LÄN</t>
        </is>
      </c>
      <c r="E305" t="inlineStr">
        <is>
          <t>LJUSDAL</t>
        </is>
      </c>
      <c r="F305" t="inlineStr">
        <is>
          <t>Sveaskog</t>
        </is>
      </c>
      <c r="G305" t="n">
        <v>2.8</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18101-2024 artfynd.xlsx", "A 18101-2024")</f>
        <v/>
      </c>
      <c r="T305">
        <f>HYPERLINK("https://klasma.github.io/Logging_2161/kartor/A 18101-2024 karta.png", "A 18101-2024")</f>
        <v/>
      </c>
      <c r="V305">
        <f>HYPERLINK("https://klasma.github.io/Logging_2161/klagomål/A 18101-2024 FSC-klagomål.docx", "A 18101-2024")</f>
        <v/>
      </c>
      <c r="W305">
        <f>HYPERLINK("https://klasma.github.io/Logging_2161/klagomålsmail/A 18101-2024 FSC-klagomål mail.docx", "A 18101-2024")</f>
        <v/>
      </c>
      <c r="X305">
        <f>HYPERLINK("https://klasma.github.io/Logging_2161/tillsyn/A 18101-2024 tillsynsbegäran.docx", "A 18101-2024")</f>
        <v/>
      </c>
      <c r="Y305">
        <f>HYPERLINK("https://klasma.github.io/Logging_2161/tillsynsmail/A 18101-2024 tillsynsbegäran mail.docx", "A 18101-2024")</f>
        <v/>
      </c>
    </row>
    <row r="306" ht="15" customHeight="1">
      <c r="A306" t="inlineStr">
        <is>
          <t>A 18108-2024</t>
        </is>
      </c>
      <c r="B306" s="1" t="n">
        <v>45420</v>
      </c>
      <c r="C306" s="1" t="n">
        <v>45578</v>
      </c>
      <c r="D306" t="inlineStr">
        <is>
          <t>GÄVLEBORGS LÄN</t>
        </is>
      </c>
      <c r="E306" t="inlineStr">
        <is>
          <t>LJUSDAL</t>
        </is>
      </c>
      <c r="F306" t="inlineStr">
        <is>
          <t>Sveaskog</t>
        </is>
      </c>
      <c r="G306" t="n">
        <v>2.2</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18108-2024 artfynd.xlsx", "A 18108-2024")</f>
        <v/>
      </c>
      <c r="T306">
        <f>HYPERLINK("https://klasma.github.io/Logging_2161/kartor/A 18108-2024 karta.png", "A 18108-2024")</f>
        <v/>
      </c>
      <c r="V306">
        <f>HYPERLINK("https://klasma.github.io/Logging_2161/klagomål/A 18108-2024 FSC-klagomål.docx", "A 18108-2024")</f>
        <v/>
      </c>
      <c r="W306">
        <f>HYPERLINK("https://klasma.github.io/Logging_2161/klagomålsmail/A 18108-2024 FSC-klagomål mail.docx", "A 18108-2024")</f>
        <v/>
      </c>
      <c r="X306">
        <f>HYPERLINK("https://klasma.github.io/Logging_2161/tillsyn/A 18108-2024 tillsynsbegäran.docx", "A 18108-2024")</f>
        <v/>
      </c>
      <c r="Y306">
        <f>HYPERLINK("https://klasma.github.io/Logging_2161/tillsynsmail/A 18108-2024 tillsynsbegäran mail.docx", "A 18108-2024")</f>
        <v/>
      </c>
    </row>
    <row r="307" ht="15" customHeight="1">
      <c r="A307" t="inlineStr">
        <is>
          <t>A 18103-2024</t>
        </is>
      </c>
      <c r="B307" s="1" t="n">
        <v>45420</v>
      </c>
      <c r="C307" s="1" t="n">
        <v>45578</v>
      </c>
      <c r="D307" t="inlineStr">
        <is>
          <t>GÄVLEBORGS LÄN</t>
        </is>
      </c>
      <c r="E307" t="inlineStr">
        <is>
          <t>LJUSDAL</t>
        </is>
      </c>
      <c r="F307" t="inlineStr">
        <is>
          <t>Sveaskog</t>
        </is>
      </c>
      <c r="G307" t="n">
        <v>3.9</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18103-2024 artfynd.xlsx", "A 18103-2024")</f>
        <v/>
      </c>
      <c r="T307">
        <f>HYPERLINK("https://klasma.github.io/Logging_2161/kartor/A 18103-2024 karta.png", "A 18103-2024")</f>
        <v/>
      </c>
      <c r="V307">
        <f>HYPERLINK("https://klasma.github.io/Logging_2161/klagomål/A 18103-2024 FSC-klagomål.docx", "A 18103-2024")</f>
        <v/>
      </c>
      <c r="W307">
        <f>HYPERLINK("https://klasma.github.io/Logging_2161/klagomålsmail/A 18103-2024 FSC-klagomål mail.docx", "A 18103-2024")</f>
        <v/>
      </c>
      <c r="X307">
        <f>HYPERLINK("https://klasma.github.io/Logging_2161/tillsyn/A 18103-2024 tillsynsbegäran.docx", "A 18103-2024")</f>
        <v/>
      </c>
      <c r="Y307">
        <f>HYPERLINK("https://klasma.github.io/Logging_2161/tillsynsmail/A 18103-2024 tillsynsbegäran mail.docx", "A 18103-2024")</f>
        <v/>
      </c>
    </row>
    <row r="308" ht="15" customHeight="1">
      <c r="A308" t="inlineStr">
        <is>
          <t>A 18986-2024</t>
        </is>
      </c>
      <c r="B308" s="1" t="n">
        <v>45427</v>
      </c>
      <c r="C308" s="1" t="n">
        <v>45578</v>
      </c>
      <c r="D308" t="inlineStr">
        <is>
          <t>GÄVLEBORGS LÄN</t>
        </is>
      </c>
      <c r="E308" t="inlineStr">
        <is>
          <t>LJUSDAL</t>
        </is>
      </c>
      <c r="F308" t="inlineStr">
        <is>
          <t>Sveaskog</t>
        </is>
      </c>
      <c r="G308" t="n">
        <v>5.7</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18986-2024 artfynd.xlsx", "A 18986-2024")</f>
        <v/>
      </c>
      <c r="T308">
        <f>HYPERLINK("https://klasma.github.io/Logging_2161/kartor/A 18986-2024 karta.png", "A 18986-2024")</f>
        <v/>
      </c>
      <c r="V308">
        <f>HYPERLINK("https://klasma.github.io/Logging_2161/klagomål/A 18986-2024 FSC-klagomål.docx", "A 18986-2024")</f>
        <v/>
      </c>
      <c r="W308">
        <f>HYPERLINK("https://klasma.github.io/Logging_2161/klagomålsmail/A 18986-2024 FSC-klagomål mail.docx", "A 18986-2024")</f>
        <v/>
      </c>
      <c r="X308">
        <f>HYPERLINK("https://klasma.github.io/Logging_2161/tillsyn/A 18986-2024 tillsynsbegäran.docx", "A 18986-2024")</f>
        <v/>
      </c>
      <c r="Y308">
        <f>HYPERLINK("https://klasma.github.io/Logging_2161/tillsynsmail/A 18986-2024 tillsynsbegäran mail.docx", "A 18986-2024")</f>
        <v/>
      </c>
    </row>
    <row r="309" ht="15" customHeight="1">
      <c r="A309" t="inlineStr">
        <is>
          <t>A 19180-2024</t>
        </is>
      </c>
      <c r="B309" s="1" t="n">
        <v>45428</v>
      </c>
      <c r="C309" s="1" t="n">
        <v>45578</v>
      </c>
      <c r="D309" t="inlineStr">
        <is>
          <t>GÄVLEBORGS LÄN</t>
        </is>
      </c>
      <c r="E309" t="inlineStr">
        <is>
          <t>OVANÅKER</t>
        </is>
      </c>
      <c r="G309" t="n">
        <v>4.1</v>
      </c>
      <c r="H309" t="n">
        <v>0</v>
      </c>
      <c r="I309" t="n">
        <v>0</v>
      </c>
      <c r="J309" t="n">
        <v>2</v>
      </c>
      <c r="K309" t="n">
        <v>0</v>
      </c>
      <c r="L309" t="n">
        <v>0</v>
      </c>
      <c r="M309" t="n">
        <v>0</v>
      </c>
      <c r="N309" t="n">
        <v>0</v>
      </c>
      <c r="O309" t="n">
        <v>2</v>
      </c>
      <c r="P309" t="n">
        <v>0</v>
      </c>
      <c r="Q309" t="n">
        <v>2</v>
      </c>
      <c r="R309" s="2" t="inlineStr">
        <is>
          <t>Kolflarnlav
Vedskivlav</t>
        </is>
      </c>
      <c r="S309">
        <f>HYPERLINK("https://klasma.github.io/Logging_2121/artfynd/A 19180-2024 artfynd.xlsx", "A 19180-2024")</f>
        <v/>
      </c>
      <c r="T309">
        <f>HYPERLINK("https://klasma.github.io/Logging_2121/kartor/A 19180-2024 karta.png", "A 19180-2024")</f>
        <v/>
      </c>
      <c r="V309">
        <f>HYPERLINK("https://klasma.github.io/Logging_2121/klagomål/A 19180-2024 FSC-klagomål.docx", "A 19180-2024")</f>
        <v/>
      </c>
      <c r="W309">
        <f>HYPERLINK("https://klasma.github.io/Logging_2121/klagomålsmail/A 19180-2024 FSC-klagomål mail.docx", "A 19180-2024")</f>
        <v/>
      </c>
      <c r="X309">
        <f>HYPERLINK("https://klasma.github.io/Logging_2121/tillsyn/A 19180-2024 tillsynsbegäran.docx", "A 19180-2024")</f>
        <v/>
      </c>
      <c r="Y309">
        <f>HYPERLINK("https://klasma.github.io/Logging_2121/tillsynsmail/A 19180-2024 tillsynsbegäran mail.docx", "A 19180-2024")</f>
        <v/>
      </c>
    </row>
    <row r="310" ht="15" customHeight="1">
      <c r="A310" t="inlineStr">
        <is>
          <t>A 19848-2024</t>
        </is>
      </c>
      <c r="B310" s="1" t="n">
        <v>45433</v>
      </c>
      <c r="C310" s="1" t="n">
        <v>45578</v>
      </c>
      <c r="D310" t="inlineStr">
        <is>
          <t>GÄVLEBORGS LÄN</t>
        </is>
      </c>
      <c r="E310" t="inlineStr">
        <is>
          <t>LJUSDAL</t>
        </is>
      </c>
      <c r="F310" t="inlineStr">
        <is>
          <t>Sveaskog</t>
        </is>
      </c>
      <c r="G310" t="n">
        <v>3.1</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19848-2024 artfynd.xlsx", "A 19848-2024")</f>
        <v/>
      </c>
      <c r="T310">
        <f>HYPERLINK("https://klasma.github.io/Logging_2161/kartor/A 19848-2024 karta.png", "A 19848-2024")</f>
        <v/>
      </c>
      <c r="V310">
        <f>HYPERLINK("https://klasma.github.io/Logging_2161/klagomål/A 19848-2024 FSC-klagomål.docx", "A 19848-2024")</f>
        <v/>
      </c>
      <c r="W310">
        <f>HYPERLINK("https://klasma.github.io/Logging_2161/klagomålsmail/A 19848-2024 FSC-klagomål mail.docx", "A 19848-2024")</f>
        <v/>
      </c>
      <c r="X310">
        <f>HYPERLINK("https://klasma.github.io/Logging_2161/tillsyn/A 19848-2024 tillsynsbegäran.docx", "A 19848-2024")</f>
        <v/>
      </c>
      <c r="Y310">
        <f>HYPERLINK("https://klasma.github.io/Logging_2161/tillsynsmail/A 19848-2024 tillsynsbegäran mail.docx", "A 19848-2024")</f>
        <v/>
      </c>
    </row>
    <row r="311" ht="15" customHeight="1">
      <c r="A311" t="inlineStr">
        <is>
          <t>A 19847-2024</t>
        </is>
      </c>
      <c r="B311" s="1" t="n">
        <v>45433</v>
      </c>
      <c r="C311" s="1" t="n">
        <v>45578</v>
      </c>
      <c r="D311" t="inlineStr">
        <is>
          <t>GÄVLEBORGS LÄN</t>
        </is>
      </c>
      <c r="E311" t="inlineStr">
        <is>
          <t>LJUSDAL</t>
        </is>
      </c>
      <c r="F311" t="inlineStr">
        <is>
          <t>Sveaskog</t>
        </is>
      </c>
      <c r="G311" t="n">
        <v>10.3</v>
      </c>
      <c r="H311" t="n">
        <v>0</v>
      </c>
      <c r="I311" t="n">
        <v>0</v>
      </c>
      <c r="J311" t="n">
        <v>2</v>
      </c>
      <c r="K311" t="n">
        <v>0</v>
      </c>
      <c r="L311" t="n">
        <v>0</v>
      </c>
      <c r="M311" t="n">
        <v>0</v>
      </c>
      <c r="N311" t="n">
        <v>0</v>
      </c>
      <c r="O311" t="n">
        <v>2</v>
      </c>
      <c r="P311" t="n">
        <v>0</v>
      </c>
      <c r="Q311" t="n">
        <v>2</v>
      </c>
      <c r="R311" s="2" t="inlineStr">
        <is>
          <t>Lunglav
Mörk kolflarnlav</t>
        </is>
      </c>
      <c r="S311">
        <f>HYPERLINK("https://klasma.github.io/Logging_2161/artfynd/A 19847-2024 artfynd.xlsx", "A 19847-2024")</f>
        <v/>
      </c>
      <c r="T311">
        <f>HYPERLINK("https://klasma.github.io/Logging_2161/kartor/A 19847-2024 karta.png", "A 19847-2024")</f>
        <v/>
      </c>
      <c r="V311">
        <f>HYPERLINK("https://klasma.github.io/Logging_2161/klagomål/A 19847-2024 FSC-klagomål.docx", "A 19847-2024")</f>
        <v/>
      </c>
      <c r="W311">
        <f>HYPERLINK("https://klasma.github.io/Logging_2161/klagomålsmail/A 19847-2024 FSC-klagomål mail.docx", "A 19847-2024")</f>
        <v/>
      </c>
      <c r="X311">
        <f>HYPERLINK("https://klasma.github.io/Logging_2161/tillsyn/A 19847-2024 tillsynsbegäran.docx", "A 19847-2024")</f>
        <v/>
      </c>
      <c r="Y311">
        <f>HYPERLINK("https://klasma.github.io/Logging_2161/tillsynsmail/A 19847-2024 tillsynsbegäran mail.docx", "A 19847-2024")</f>
        <v/>
      </c>
    </row>
    <row r="312" ht="15" customHeight="1">
      <c r="A312" t="inlineStr">
        <is>
          <t>A 21192-2024</t>
        </is>
      </c>
      <c r="B312" s="1" t="n">
        <v>45440</v>
      </c>
      <c r="C312" s="1" t="n">
        <v>45578</v>
      </c>
      <c r="D312" t="inlineStr">
        <is>
          <t>GÄVLEBORGS LÄN</t>
        </is>
      </c>
      <c r="E312" t="inlineStr">
        <is>
          <t>NORDANSTIG</t>
        </is>
      </c>
      <c r="G312" t="n">
        <v>11.7</v>
      </c>
      <c r="H312" t="n">
        <v>0</v>
      </c>
      <c r="I312" t="n">
        <v>1</v>
      </c>
      <c r="J312" t="n">
        <v>0</v>
      </c>
      <c r="K312" t="n">
        <v>1</v>
      </c>
      <c r="L312" t="n">
        <v>0</v>
      </c>
      <c r="M312" t="n">
        <v>0</v>
      </c>
      <c r="N312" t="n">
        <v>0</v>
      </c>
      <c r="O312" t="n">
        <v>1</v>
      </c>
      <c r="P312" t="n">
        <v>1</v>
      </c>
      <c r="Q312" t="n">
        <v>2</v>
      </c>
      <c r="R312" s="2" t="inlineStr">
        <is>
          <t>Aspgelélav
Skinnlav</t>
        </is>
      </c>
      <c r="S312">
        <f>HYPERLINK("https://klasma.github.io/Logging_2132/artfynd/A 21192-2024 artfynd.xlsx", "A 21192-2024")</f>
        <v/>
      </c>
      <c r="T312">
        <f>HYPERLINK("https://klasma.github.io/Logging_2132/kartor/A 21192-2024 karta.png", "A 21192-2024")</f>
        <v/>
      </c>
      <c r="V312">
        <f>HYPERLINK("https://klasma.github.io/Logging_2132/klagomål/A 21192-2024 FSC-klagomål.docx", "A 21192-2024")</f>
        <v/>
      </c>
      <c r="W312">
        <f>HYPERLINK("https://klasma.github.io/Logging_2132/klagomålsmail/A 21192-2024 FSC-klagomål mail.docx", "A 21192-2024")</f>
        <v/>
      </c>
      <c r="X312">
        <f>HYPERLINK("https://klasma.github.io/Logging_2132/tillsyn/A 21192-2024 tillsynsbegäran.docx", "A 21192-2024")</f>
        <v/>
      </c>
      <c r="Y312">
        <f>HYPERLINK("https://klasma.github.io/Logging_2132/tillsynsmail/A 21192-2024 tillsynsbegäran mail.docx", "A 21192-2024")</f>
        <v/>
      </c>
    </row>
    <row r="313" ht="15" customHeight="1">
      <c r="A313" t="inlineStr">
        <is>
          <t>A 21732-2024</t>
        </is>
      </c>
      <c r="B313" s="1" t="n">
        <v>45442</v>
      </c>
      <c r="C313" s="1" t="n">
        <v>45578</v>
      </c>
      <c r="D313" t="inlineStr">
        <is>
          <t>GÄVLEBORGS LÄN</t>
        </is>
      </c>
      <c r="E313" t="inlineStr">
        <is>
          <t>OCKELBO</t>
        </is>
      </c>
      <c r="F313" t="inlineStr">
        <is>
          <t>Bergvik skog väst AB</t>
        </is>
      </c>
      <c r="G313" t="n">
        <v>6.6</v>
      </c>
      <c r="H313" t="n">
        <v>1</v>
      </c>
      <c r="I313" t="n">
        <v>1</v>
      </c>
      <c r="J313" t="n">
        <v>0</v>
      </c>
      <c r="K313" t="n">
        <v>0</v>
      </c>
      <c r="L313" t="n">
        <v>0</v>
      </c>
      <c r="M313" t="n">
        <v>0</v>
      </c>
      <c r="N313" t="n">
        <v>0</v>
      </c>
      <c r="O313" t="n">
        <v>0</v>
      </c>
      <c r="P313" t="n">
        <v>0</v>
      </c>
      <c r="Q313" t="n">
        <v>2</v>
      </c>
      <c r="R313" s="2" t="inlineStr">
        <is>
          <t>Kantarellvaxskivling
Revlummer</t>
        </is>
      </c>
      <c r="S313">
        <f>HYPERLINK("https://klasma.github.io/Logging_2101/artfynd/A 21732-2024 artfynd.xlsx", "A 21732-2024")</f>
        <v/>
      </c>
      <c r="T313">
        <f>HYPERLINK("https://klasma.github.io/Logging_2101/kartor/A 21732-2024 karta.png", "A 21732-2024")</f>
        <v/>
      </c>
      <c r="V313">
        <f>HYPERLINK("https://klasma.github.io/Logging_2101/klagomål/A 21732-2024 FSC-klagomål.docx", "A 21732-2024")</f>
        <v/>
      </c>
      <c r="W313">
        <f>HYPERLINK("https://klasma.github.io/Logging_2101/klagomålsmail/A 21732-2024 FSC-klagomål mail.docx", "A 21732-2024")</f>
        <v/>
      </c>
      <c r="X313">
        <f>HYPERLINK("https://klasma.github.io/Logging_2101/tillsyn/A 21732-2024 tillsynsbegäran.docx", "A 21732-2024")</f>
        <v/>
      </c>
      <c r="Y313">
        <f>HYPERLINK("https://klasma.github.io/Logging_2101/tillsynsmail/A 21732-2024 tillsynsbegäran mail.docx", "A 21732-2024")</f>
        <v/>
      </c>
    </row>
    <row r="314" ht="15" customHeight="1">
      <c r="A314" t="inlineStr">
        <is>
          <t>A 22063-2024</t>
        </is>
      </c>
      <c r="B314" s="1" t="n">
        <v>45443</v>
      </c>
      <c r="C314" s="1" t="n">
        <v>45578</v>
      </c>
      <c r="D314" t="inlineStr">
        <is>
          <t>GÄVLEBORGS LÄN</t>
        </is>
      </c>
      <c r="E314" t="inlineStr">
        <is>
          <t>LJUSDAL</t>
        </is>
      </c>
      <c r="F314" t="inlineStr">
        <is>
          <t>Sveaskog</t>
        </is>
      </c>
      <c r="G314" t="n">
        <v>18</v>
      </c>
      <c r="H314" t="n">
        <v>1</v>
      </c>
      <c r="I314" t="n">
        <v>1</v>
      </c>
      <c r="J314" t="n">
        <v>1</v>
      </c>
      <c r="K314" t="n">
        <v>0</v>
      </c>
      <c r="L314" t="n">
        <v>0</v>
      </c>
      <c r="M314" t="n">
        <v>0</v>
      </c>
      <c r="N314" t="n">
        <v>0</v>
      </c>
      <c r="O314" t="n">
        <v>1</v>
      </c>
      <c r="P314" t="n">
        <v>0</v>
      </c>
      <c r="Q314" t="n">
        <v>2</v>
      </c>
      <c r="R314" s="2" t="inlineStr">
        <is>
          <t>Lunglav
Plattlummer</t>
        </is>
      </c>
      <c r="S314">
        <f>HYPERLINK("https://klasma.github.io/Logging_2161/artfynd/A 22063-2024 artfynd.xlsx", "A 22063-2024")</f>
        <v/>
      </c>
      <c r="T314">
        <f>HYPERLINK("https://klasma.github.io/Logging_2161/kartor/A 22063-2024 karta.png", "A 22063-2024")</f>
        <v/>
      </c>
      <c r="V314">
        <f>HYPERLINK("https://klasma.github.io/Logging_2161/klagomål/A 22063-2024 FSC-klagomål.docx", "A 22063-2024")</f>
        <v/>
      </c>
      <c r="W314">
        <f>HYPERLINK("https://klasma.github.io/Logging_2161/klagomålsmail/A 22063-2024 FSC-klagomål mail.docx", "A 22063-2024")</f>
        <v/>
      </c>
      <c r="X314">
        <f>HYPERLINK("https://klasma.github.io/Logging_2161/tillsyn/A 22063-2024 tillsynsbegäran.docx", "A 22063-2024")</f>
        <v/>
      </c>
      <c r="Y314">
        <f>HYPERLINK("https://klasma.github.io/Logging_2161/tillsynsmail/A 22063-2024 tillsynsbegäran mail.docx", "A 22063-2024")</f>
        <v/>
      </c>
    </row>
    <row r="315" ht="15" customHeight="1">
      <c r="A315" t="inlineStr">
        <is>
          <t>A 22470-2024</t>
        </is>
      </c>
      <c r="B315" s="1" t="n">
        <v>45446</v>
      </c>
      <c r="C315" s="1" t="n">
        <v>45578</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22470-2024 artfynd.xlsx", "A 22470-2024")</f>
        <v/>
      </c>
      <c r="T315">
        <f>HYPERLINK("https://klasma.github.io/Logging_2161/kartor/A 22470-2024 karta.png", "A 22470-2024")</f>
        <v/>
      </c>
      <c r="U315">
        <f>HYPERLINK("https://klasma.github.io/Logging_2161/knärot/A 22470-2024 karta knärot.png", "A 22470-2024")</f>
        <v/>
      </c>
      <c r="V315">
        <f>HYPERLINK("https://klasma.github.io/Logging_2161/klagomål/A 22470-2024 FSC-klagomål.docx", "A 22470-2024")</f>
        <v/>
      </c>
      <c r="W315">
        <f>HYPERLINK("https://klasma.github.io/Logging_2161/klagomålsmail/A 22470-2024 FSC-klagomål mail.docx", "A 22470-2024")</f>
        <v/>
      </c>
      <c r="X315">
        <f>HYPERLINK("https://klasma.github.io/Logging_2161/tillsyn/A 22470-2024 tillsynsbegäran.docx", "A 22470-2024")</f>
        <v/>
      </c>
      <c r="Y315">
        <f>HYPERLINK("https://klasma.github.io/Logging_2161/tillsynsmail/A 22470-2024 tillsynsbegäran mail.docx", "A 22470-2024")</f>
        <v/>
      </c>
    </row>
    <row r="316" ht="15" customHeight="1">
      <c r="A316" t="inlineStr">
        <is>
          <t>A 22667-2024</t>
        </is>
      </c>
      <c r="B316" s="1" t="n">
        <v>45448</v>
      </c>
      <c r="C316" s="1" t="n">
        <v>45578</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22667-2024 artfynd.xlsx", "A 22667-2024")</f>
        <v/>
      </c>
      <c r="T316">
        <f>HYPERLINK("https://klasma.github.io/Logging_2161/kartor/A 22667-2024 karta.png", "A 22667-2024")</f>
        <v/>
      </c>
      <c r="U316">
        <f>HYPERLINK("https://klasma.github.io/Logging_2161/knärot/A 22667-2024 karta knärot.png", "A 22667-2024")</f>
        <v/>
      </c>
      <c r="V316">
        <f>HYPERLINK("https://klasma.github.io/Logging_2161/klagomål/A 22667-2024 FSC-klagomål.docx", "A 22667-2024")</f>
        <v/>
      </c>
      <c r="W316">
        <f>HYPERLINK("https://klasma.github.io/Logging_2161/klagomålsmail/A 22667-2024 FSC-klagomål mail.docx", "A 22667-2024")</f>
        <v/>
      </c>
      <c r="X316">
        <f>HYPERLINK("https://klasma.github.io/Logging_2161/tillsyn/A 22667-2024 tillsynsbegäran.docx", "A 22667-2024")</f>
        <v/>
      </c>
      <c r="Y316">
        <f>HYPERLINK("https://klasma.github.io/Logging_2161/tillsynsmail/A 22667-2024 tillsynsbegäran mail.docx", "A 22667-2024")</f>
        <v/>
      </c>
    </row>
    <row r="317" ht="15" customHeight="1">
      <c r="A317" t="inlineStr">
        <is>
          <t>A 23399-2024</t>
        </is>
      </c>
      <c r="B317" s="1" t="n">
        <v>45453</v>
      </c>
      <c r="C317" s="1" t="n">
        <v>45578</v>
      </c>
      <c r="D317" t="inlineStr">
        <is>
          <t>GÄVLEBORGS LÄN</t>
        </is>
      </c>
      <c r="E317" t="inlineStr">
        <is>
          <t>LJUSDAL</t>
        </is>
      </c>
      <c r="G317" t="n">
        <v>1.7</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23399-2024 artfynd.xlsx", "A 23399-2024")</f>
        <v/>
      </c>
      <c r="T317">
        <f>HYPERLINK("https://klasma.github.io/Logging_2161/kartor/A 23399-2024 karta.png", "A 23399-2024")</f>
        <v/>
      </c>
      <c r="V317">
        <f>HYPERLINK("https://klasma.github.io/Logging_2161/klagomål/A 23399-2024 FSC-klagomål.docx", "A 23399-2024")</f>
        <v/>
      </c>
      <c r="W317">
        <f>HYPERLINK("https://klasma.github.io/Logging_2161/klagomålsmail/A 23399-2024 FSC-klagomål mail.docx", "A 23399-2024")</f>
        <v/>
      </c>
      <c r="X317">
        <f>HYPERLINK("https://klasma.github.io/Logging_2161/tillsyn/A 23399-2024 tillsynsbegäran.docx", "A 23399-2024")</f>
        <v/>
      </c>
      <c r="Y317">
        <f>HYPERLINK("https://klasma.github.io/Logging_2161/tillsynsmail/A 23399-2024 tillsynsbegäran mail.docx", "A 23399-2024")</f>
        <v/>
      </c>
    </row>
    <row r="318" ht="15" customHeight="1">
      <c r="A318" t="inlineStr">
        <is>
          <t>A 23606-2024</t>
        </is>
      </c>
      <c r="B318" s="1" t="n">
        <v>45454</v>
      </c>
      <c r="C318" s="1" t="n">
        <v>45578</v>
      </c>
      <c r="D318" t="inlineStr">
        <is>
          <t>GÄVLEBORGS LÄN</t>
        </is>
      </c>
      <c r="E318" t="inlineStr">
        <is>
          <t>LJUSDAL</t>
        </is>
      </c>
      <c r="F318" t="inlineStr">
        <is>
          <t>Sveaskog</t>
        </is>
      </c>
      <c r="G318" t="n">
        <v>4.4</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23606-2024 artfynd.xlsx", "A 23606-2024")</f>
        <v/>
      </c>
      <c r="T318">
        <f>HYPERLINK("https://klasma.github.io/Logging_2161/kartor/A 23606-2024 karta.png", "A 23606-2024")</f>
        <v/>
      </c>
      <c r="V318">
        <f>HYPERLINK("https://klasma.github.io/Logging_2161/klagomål/A 23606-2024 FSC-klagomål.docx", "A 23606-2024")</f>
        <v/>
      </c>
      <c r="W318">
        <f>HYPERLINK("https://klasma.github.io/Logging_2161/klagomålsmail/A 23606-2024 FSC-klagomål mail.docx", "A 23606-2024")</f>
        <v/>
      </c>
      <c r="X318">
        <f>HYPERLINK("https://klasma.github.io/Logging_2161/tillsyn/A 23606-2024 tillsynsbegäran.docx", "A 23606-2024")</f>
        <v/>
      </c>
      <c r="Y318">
        <f>HYPERLINK("https://klasma.github.io/Logging_2161/tillsynsmail/A 23606-2024 tillsynsbegäran mail.docx", "A 23606-2024")</f>
        <v/>
      </c>
    </row>
    <row r="319" ht="15" customHeight="1">
      <c r="A319" t="inlineStr">
        <is>
          <t>A 24868-2024</t>
        </is>
      </c>
      <c r="B319" s="1" t="n">
        <v>45461</v>
      </c>
      <c r="C319" s="1" t="n">
        <v>45578</v>
      </c>
      <c r="D319" t="inlineStr">
        <is>
          <t>GÄVLEBORGS LÄN</t>
        </is>
      </c>
      <c r="E319" t="inlineStr">
        <is>
          <t>LJUSDAL</t>
        </is>
      </c>
      <c r="F319" t="inlineStr">
        <is>
          <t>Bergvik skog väst AB</t>
        </is>
      </c>
      <c r="G319" t="n">
        <v>8.5</v>
      </c>
      <c r="H319" t="n">
        <v>1</v>
      </c>
      <c r="I319" t="n">
        <v>1</v>
      </c>
      <c r="J319" t="n">
        <v>1</v>
      </c>
      <c r="K319" t="n">
        <v>0</v>
      </c>
      <c r="L319" t="n">
        <v>0</v>
      </c>
      <c r="M319" t="n">
        <v>0</v>
      </c>
      <c r="N319" t="n">
        <v>0</v>
      </c>
      <c r="O319" t="n">
        <v>1</v>
      </c>
      <c r="P319" t="n">
        <v>0</v>
      </c>
      <c r="Q319" t="n">
        <v>2</v>
      </c>
      <c r="R319" s="2" t="inlineStr">
        <is>
          <t>Granticka
Spindelblomster</t>
        </is>
      </c>
      <c r="S319">
        <f>HYPERLINK("https://klasma.github.io/Logging_2161/artfynd/A 24868-2024 artfynd.xlsx", "A 24868-2024")</f>
        <v/>
      </c>
      <c r="T319">
        <f>HYPERLINK("https://klasma.github.io/Logging_2161/kartor/A 24868-2024 karta.png", "A 24868-2024")</f>
        <v/>
      </c>
      <c r="V319">
        <f>HYPERLINK("https://klasma.github.io/Logging_2161/klagomål/A 24868-2024 FSC-klagomål.docx", "A 24868-2024")</f>
        <v/>
      </c>
      <c r="W319">
        <f>HYPERLINK("https://klasma.github.io/Logging_2161/klagomålsmail/A 24868-2024 FSC-klagomål mail.docx", "A 24868-2024")</f>
        <v/>
      </c>
      <c r="X319">
        <f>HYPERLINK("https://klasma.github.io/Logging_2161/tillsyn/A 24868-2024 tillsynsbegäran.docx", "A 24868-2024")</f>
        <v/>
      </c>
      <c r="Y319">
        <f>HYPERLINK("https://klasma.github.io/Logging_2161/tillsynsmail/A 24868-2024 tillsynsbegäran mail.docx", "A 24868-2024")</f>
        <v/>
      </c>
    </row>
    <row r="320" ht="15" customHeight="1">
      <c r="A320" t="inlineStr">
        <is>
          <t>A 25863-2024</t>
        </is>
      </c>
      <c r="B320" s="1" t="n">
        <v>45467</v>
      </c>
      <c r="C320" s="1" t="n">
        <v>45578</v>
      </c>
      <c r="D320" t="inlineStr">
        <is>
          <t>GÄVLEBORGS LÄN</t>
        </is>
      </c>
      <c r="E320" t="inlineStr">
        <is>
          <t>LJUSDAL</t>
        </is>
      </c>
      <c r="F320" t="inlineStr">
        <is>
          <t>Sveaskog</t>
        </is>
      </c>
      <c r="G320" t="n">
        <v>10.7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25863-2024 artfynd.xlsx", "A 25863-2024")</f>
        <v/>
      </c>
      <c r="T320">
        <f>HYPERLINK("https://klasma.github.io/Logging_2161/kartor/A 25863-2024 karta.png", "A 25863-2024")</f>
        <v/>
      </c>
      <c r="V320">
        <f>HYPERLINK("https://klasma.github.io/Logging_2161/klagomål/A 25863-2024 FSC-klagomål.docx", "A 25863-2024")</f>
        <v/>
      </c>
      <c r="W320">
        <f>HYPERLINK("https://klasma.github.io/Logging_2161/klagomålsmail/A 25863-2024 FSC-klagomål mail.docx", "A 25863-2024")</f>
        <v/>
      </c>
      <c r="X320">
        <f>HYPERLINK("https://klasma.github.io/Logging_2161/tillsyn/A 25863-2024 tillsynsbegäran.docx", "A 25863-2024")</f>
        <v/>
      </c>
      <c r="Y320">
        <f>HYPERLINK("https://klasma.github.io/Logging_2161/tillsynsmail/A 25863-2024 tillsynsbegäran mail.docx", "A 25863-2024")</f>
        <v/>
      </c>
    </row>
    <row r="321" ht="15" customHeight="1">
      <c r="A321" t="inlineStr">
        <is>
          <t>A 26213-2024</t>
        </is>
      </c>
      <c r="B321" s="1" t="n">
        <v>45468</v>
      </c>
      <c r="C321" s="1" t="n">
        <v>45578</v>
      </c>
      <c r="D321" t="inlineStr">
        <is>
          <t>GÄVLEBORGS LÄN</t>
        </is>
      </c>
      <c r="E321" t="inlineStr">
        <is>
          <t>GÄVLE</t>
        </is>
      </c>
      <c r="F321" t="inlineStr">
        <is>
          <t>Bergvik skog väst AB</t>
        </is>
      </c>
      <c r="G321" t="n">
        <v>2.7</v>
      </c>
      <c r="H321" t="n">
        <v>0</v>
      </c>
      <c r="I321" t="n">
        <v>1</v>
      </c>
      <c r="J321" t="n">
        <v>1</v>
      </c>
      <c r="K321" t="n">
        <v>0</v>
      </c>
      <c r="L321" t="n">
        <v>0</v>
      </c>
      <c r="M321" t="n">
        <v>0</v>
      </c>
      <c r="N321" t="n">
        <v>0</v>
      </c>
      <c r="O321" t="n">
        <v>1</v>
      </c>
      <c r="P321" t="n">
        <v>0</v>
      </c>
      <c r="Q321" t="n">
        <v>2</v>
      </c>
      <c r="R321" s="2" t="inlineStr">
        <is>
          <t>Vedskivlav
Dropptaggsvamp</t>
        </is>
      </c>
      <c r="S321">
        <f>HYPERLINK("https://klasma.github.io/Logging_2180/artfynd/A 26213-2024 artfynd.xlsx", "A 26213-2024")</f>
        <v/>
      </c>
      <c r="T321">
        <f>HYPERLINK("https://klasma.github.io/Logging_2180/kartor/A 26213-2024 karta.png", "A 26213-2024")</f>
        <v/>
      </c>
      <c r="V321">
        <f>HYPERLINK("https://klasma.github.io/Logging_2180/klagomål/A 26213-2024 FSC-klagomål.docx", "A 26213-2024")</f>
        <v/>
      </c>
      <c r="W321">
        <f>HYPERLINK("https://klasma.github.io/Logging_2180/klagomålsmail/A 26213-2024 FSC-klagomål mail.docx", "A 26213-2024")</f>
        <v/>
      </c>
      <c r="X321">
        <f>HYPERLINK("https://klasma.github.io/Logging_2180/tillsyn/A 26213-2024 tillsynsbegäran.docx", "A 26213-2024")</f>
        <v/>
      </c>
      <c r="Y321">
        <f>HYPERLINK("https://klasma.github.io/Logging_2180/tillsynsmail/A 26213-2024 tillsynsbegäran mail.docx", "A 26213-2024")</f>
        <v/>
      </c>
    </row>
    <row r="322" ht="15" customHeight="1">
      <c r="A322" t="inlineStr">
        <is>
          <t>A 27011-2024</t>
        </is>
      </c>
      <c r="B322" s="1" t="n">
        <v>45471</v>
      </c>
      <c r="C322" s="1" t="n">
        <v>45578</v>
      </c>
      <c r="D322" t="inlineStr">
        <is>
          <t>GÄVLEBORGS LÄN</t>
        </is>
      </c>
      <c r="E322" t="inlineStr">
        <is>
          <t>BOLLNÄS</t>
        </is>
      </c>
      <c r="F322" t="inlineStr">
        <is>
          <t>Sveaskog</t>
        </is>
      </c>
      <c r="G322" t="n">
        <v>4.1</v>
      </c>
      <c r="H322" t="n">
        <v>2</v>
      </c>
      <c r="I322" t="n">
        <v>1</v>
      </c>
      <c r="J322" t="n">
        <v>0</v>
      </c>
      <c r="K322" t="n">
        <v>1</v>
      </c>
      <c r="L322" t="n">
        <v>0</v>
      </c>
      <c r="M322" t="n">
        <v>0</v>
      </c>
      <c r="N322" t="n">
        <v>0</v>
      </c>
      <c r="O322" t="n">
        <v>1</v>
      </c>
      <c r="P322" t="n">
        <v>1</v>
      </c>
      <c r="Q322" t="n">
        <v>2</v>
      </c>
      <c r="R322" s="2" t="inlineStr">
        <is>
          <t>Knärot
Korallrot</t>
        </is>
      </c>
      <c r="S322">
        <f>HYPERLINK("https://klasma.github.io/Logging_2183/artfynd/A 27011-2024 artfynd.xlsx", "A 27011-2024")</f>
        <v/>
      </c>
      <c r="T322">
        <f>HYPERLINK("https://klasma.github.io/Logging_2183/kartor/A 27011-2024 karta.png", "A 27011-2024")</f>
        <v/>
      </c>
      <c r="U322">
        <f>HYPERLINK("https://klasma.github.io/Logging_2183/knärot/A 27011-2024 karta knärot.png", "A 27011-2024")</f>
        <v/>
      </c>
      <c r="V322">
        <f>HYPERLINK("https://klasma.github.io/Logging_2183/klagomål/A 27011-2024 FSC-klagomål.docx", "A 27011-2024")</f>
        <v/>
      </c>
      <c r="W322">
        <f>HYPERLINK("https://klasma.github.io/Logging_2183/klagomålsmail/A 27011-2024 FSC-klagomål mail.docx", "A 27011-2024")</f>
        <v/>
      </c>
      <c r="X322">
        <f>HYPERLINK("https://klasma.github.io/Logging_2183/tillsyn/A 27011-2024 tillsynsbegäran.docx", "A 27011-2024")</f>
        <v/>
      </c>
      <c r="Y322">
        <f>HYPERLINK("https://klasma.github.io/Logging_2183/tillsynsmail/A 27011-2024 tillsynsbegäran mail.docx", "A 27011-2024")</f>
        <v/>
      </c>
    </row>
    <row r="323" ht="15" customHeight="1">
      <c r="A323" t="inlineStr">
        <is>
          <t>A 28422-2024</t>
        </is>
      </c>
      <c r="B323" s="1" t="n">
        <v>45477</v>
      </c>
      <c r="C323" s="1" t="n">
        <v>45578</v>
      </c>
      <c r="D323" t="inlineStr">
        <is>
          <t>GÄVLEBORGS LÄN</t>
        </is>
      </c>
      <c r="E323" t="inlineStr">
        <is>
          <t>LJUSDAL</t>
        </is>
      </c>
      <c r="F323" t="inlineStr">
        <is>
          <t>Allmännings- och besparingsskogar</t>
        </is>
      </c>
      <c r="G323" t="n">
        <v>11.9</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28422-2024 artfynd.xlsx", "A 28422-2024")</f>
        <v/>
      </c>
      <c r="T323">
        <f>HYPERLINK("https://klasma.github.io/Logging_2161/kartor/A 28422-2024 karta.png", "A 28422-2024")</f>
        <v/>
      </c>
      <c r="V323">
        <f>HYPERLINK("https://klasma.github.io/Logging_2161/klagomål/A 28422-2024 FSC-klagomål.docx", "A 28422-2024")</f>
        <v/>
      </c>
      <c r="W323">
        <f>HYPERLINK("https://klasma.github.io/Logging_2161/klagomålsmail/A 28422-2024 FSC-klagomål mail.docx", "A 28422-2024")</f>
        <v/>
      </c>
      <c r="X323">
        <f>HYPERLINK("https://klasma.github.io/Logging_2161/tillsyn/A 28422-2024 tillsynsbegäran.docx", "A 28422-2024")</f>
        <v/>
      </c>
      <c r="Y323">
        <f>HYPERLINK("https://klasma.github.io/Logging_2161/tillsynsmail/A 28422-2024 tillsynsbegäran mail.docx", "A 28422-2024")</f>
        <v/>
      </c>
    </row>
    <row r="324" ht="15" customHeight="1">
      <c r="A324" t="inlineStr">
        <is>
          <t>A 30530-2024</t>
        </is>
      </c>
      <c r="B324" s="1" t="n">
        <v>45492</v>
      </c>
      <c r="C324" s="1" t="n">
        <v>45578</v>
      </c>
      <c r="D324" t="inlineStr">
        <is>
          <t>GÄVLEBORGS LÄN</t>
        </is>
      </c>
      <c r="E324" t="inlineStr">
        <is>
          <t>SANDVIKEN</t>
        </is>
      </c>
      <c r="F324" t="inlineStr">
        <is>
          <t>Sveaskog</t>
        </is>
      </c>
      <c r="G324" t="n">
        <v>13.5</v>
      </c>
      <c r="H324" t="n">
        <v>2</v>
      </c>
      <c r="I324" t="n">
        <v>0</v>
      </c>
      <c r="J324" t="n">
        <v>0</v>
      </c>
      <c r="K324" t="n">
        <v>1</v>
      </c>
      <c r="L324" t="n">
        <v>0</v>
      </c>
      <c r="M324" t="n">
        <v>0</v>
      </c>
      <c r="N324" t="n">
        <v>0</v>
      </c>
      <c r="O324" t="n">
        <v>1</v>
      </c>
      <c r="P324" t="n">
        <v>1</v>
      </c>
      <c r="Q324" t="n">
        <v>2</v>
      </c>
      <c r="R324" s="2" t="inlineStr">
        <is>
          <t>Knärot
Revlummer</t>
        </is>
      </c>
      <c r="S324">
        <f>HYPERLINK("https://klasma.github.io/Logging_2181/artfynd/A 30530-2024 artfynd.xlsx", "A 30530-2024")</f>
        <v/>
      </c>
      <c r="T324">
        <f>HYPERLINK("https://klasma.github.io/Logging_2181/kartor/A 30530-2024 karta.png", "A 30530-2024")</f>
        <v/>
      </c>
      <c r="U324">
        <f>HYPERLINK("https://klasma.github.io/Logging_2181/knärot/A 30530-2024 karta knärot.png", "A 30530-2024")</f>
        <v/>
      </c>
      <c r="V324">
        <f>HYPERLINK("https://klasma.github.io/Logging_2181/klagomål/A 30530-2024 FSC-klagomål.docx", "A 30530-2024")</f>
        <v/>
      </c>
      <c r="W324">
        <f>HYPERLINK("https://klasma.github.io/Logging_2181/klagomålsmail/A 30530-2024 FSC-klagomål mail.docx", "A 30530-2024")</f>
        <v/>
      </c>
      <c r="X324">
        <f>HYPERLINK("https://klasma.github.io/Logging_2181/tillsyn/A 30530-2024 tillsynsbegäran.docx", "A 30530-2024")</f>
        <v/>
      </c>
      <c r="Y324">
        <f>HYPERLINK("https://klasma.github.io/Logging_2181/tillsynsmail/A 30530-2024 tillsynsbegäran mail.docx", "A 30530-2024")</f>
        <v/>
      </c>
    </row>
    <row r="325" ht="15" customHeight="1">
      <c r="A325" t="inlineStr">
        <is>
          <t>A 30884-2024</t>
        </is>
      </c>
      <c r="B325" s="1" t="n">
        <v>45498</v>
      </c>
      <c r="C325" s="1" t="n">
        <v>45578</v>
      </c>
      <c r="D325" t="inlineStr">
        <is>
          <t>GÄVLEBORGS LÄN</t>
        </is>
      </c>
      <c r="E325" t="inlineStr">
        <is>
          <t>LJUSDAL</t>
        </is>
      </c>
      <c r="F325" t="inlineStr">
        <is>
          <t>Sveaskog</t>
        </is>
      </c>
      <c r="G325" t="n">
        <v>3.2</v>
      </c>
      <c r="H325" t="n">
        <v>1</v>
      </c>
      <c r="I325" t="n">
        <v>0</v>
      </c>
      <c r="J325" t="n">
        <v>1</v>
      </c>
      <c r="K325" t="n">
        <v>0</v>
      </c>
      <c r="L325" t="n">
        <v>0</v>
      </c>
      <c r="M325" t="n">
        <v>0</v>
      </c>
      <c r="N325" t="n">
        <v>0</v>
      </c>
      <c r="O325" t="n">
        <v>1</v>
      </c>
      <c r="P325" t="n">
        <v>0</v>
      </c>
      <c r="Q325" t="n">
        <v>2</v>
      </c>
      <c r="R325" s="2" t="inlineStr">
        <is>
          <t>Kolflarnlav
Fläcknycklar</t>
        </is>
      </c>
      <c r="S325">
        <f>HYPERLINK("https://klasma.github.io/Logging_2161/artfynd/A 30884-2024 artfynd.xlsx", "A 30884-2024")</f>
        <v/>
      </c>
      <c r="T325">
        <f>HYPERLINK("https://klasma.github.io/Logging_2161/kartor/A 30884-2024 karta.png", "A 30884-2024")</f>
        <v/>
      </c>
      <c r="V325">
        <f>HYPERLINK("https://klasma.github.io/Logging_2161/klagomål/A 30884-2024 FSC-klagomål.docx", "A 30884-2024")</f>
        <v/>
      </c>
      <c r="W325">
        <f>HYPERLINK("https://klasma.github.io/Logging_2161/klagomålsmail/A 30884-2024 FSC-klagomål mail.docx", "A 30884-2024")</f>
        <v/>
      </c>
      <c r="X325">
        <f>HYPERLINK("https://klasma.github.io/Logging_2161/tillsyn/A 30884-2024 tillsynsbegäran.docx", "A 30884-2024")</f>
        <v/>
      </c>
      <c r="Y325">
        <f>HYPERLINK("https://klasma.github.io/Logging_2161/tillsynsmail/A 30884-2024 tillsynsbegäran mail.docx", "A 30884-2024")</f>
        <v/>
      </c>
    </row>
    <row r="326" ht="15" customHeight="1">
      <c r="A326" t="inlineStr">
        <is>
          <t>A 30885-2024</t>
        </is>
      </c>
      <c r="B326" s="1" t="n">
        <v>45498</v>
      </c>
      <c r="C326" s="1" t="n">
        <v>45578</v>
      </c>
      <c r="D326" t="inlineStr">
        <is>
          <t>GÄVLEBORGS LÄN</t>
        </is>
      </c>
      <c r="E326" t="inlineStr">
        <is>
          <t>LJUSDAL</t>
        </is>
      </c>
      <c r="F326" t="inlineStr">
        <is>
          <t>Sveaskog</t>
        </is>
      </c>
      <c r="G326" t="n">
        <v>11.2</v>
      </c>
      <c r="H326" t="n">
        <v>1</v>
      </c>
      <c r="I326" t="n">
        <v>1</v>
      </c>
      <c r="J326" t="n">
        <v>1</v>
      </c>
      <c r="K326" t="n">
        <v>0</v>
      </c>
      <c r="L326" t="n">
        <v>0</v>
      </c>
      <c r="M326" t="n">
        <v>0</v>
      </c>
      <c r="N326" t="n">
        <v>0</v>
      </c>
      <c r="O326" t="n">
        <v>1</v>
      </c>
      <c r="P326" t="n">
        <v>0</v>
      </c>
      <c r="Q326" t="n">
        <v>2</v>
      </c>
      <c r="R326" s="2" t="inlineStr">
        <is>
          <t>Kolflarnlav
Plattlummer</t>
        </is>
      </c>
      <c r="S326">
        <f>HYPERLINK("https://klasma.github.io/Logging_2161/artfynd/A 30885-2024 artfynd.xlsx", "A 30885-2024")</f>
        <v/>
      </c>
      <c r="T326">
        <f>HYPERLINK("https://klasma.github.io/Logging_2161/kartor/A 30885-2024 karta.png", "A 30885-2024")</f>
        <v/>
      </c>
      <c r="V326">
        <f>HYPERLINK("https://klasma.github.io/Logging_2161/klagomål/A 30885-2024 FSC-klagomål.docx", "A 30885-2024")</f>
        <v/>
      </c>
      <c r="W326">
        <f>HYPERLINK("https://klasma.github.io/Logging_2161/klagomålsmail/A 30885-2024 FSC-klagomål mail.docx", "A 30885-2024")</f>
        <v/>
      </c>
      <c r="X326">
        <f>HYPERLINK("https://klasma.github.io/Logging_2161/tillsyn/A 30885-2024 tillsynsbegäran.docx", "A 30885-2024")</f>
        <v/>
      </c>
      <c r="Y326">
        <f>HYPERLINK("https://klasma.github.io/Logging_2161/tillsynsmail/A 30885-2024 tillsynsbegäran mail.docx", "A 30885-2024")</f>
        <v/>
      </c>
    </row>
    <row r="327" ht="15" customHeight="1">
      <c r="A327" t="inlineStr">
        <is>
          <t>A 30941-2024</t>
        </is>
      </c>
      <c r="B327" s="1" t="n">
        <v>45499</v>
      </c>
      <c r="C327" s="1" t="n">
        <v>45578</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30941-2024 artfynd.xlsx", "A 30941-2024")</f>
        <v/>
      </c>
      <c r="T327">
        <f>HYPERLINK("https://klasma.github.io/Logging_2121/kartor/A 30941-2024 karta.png", "A 30941-2024")</f>
        <v/>
      </c>
      <c r="V327">
        <f>HYPERLINK("https://klasma.github.io/Logging_2121/klagomål/A 30941-2024 FSC-klagomål.docx", "A 30941-2024")</f>
        <v/>
      </c>
      <c r="W327">
        <f>HYPERLINK("https://klasma.github.io/Logging_2121/klagomålsmail/A 30941-2024 FSC-klagomål mail.docx", "A 30941-2024")</f>
        <v/>
      </c>
      <c r="X327">
        <f>HYPERLINK("https://klasma.github.io/Logging_2121/tillsyn/A 30941-2024 tillsynsbegäran.docx", "A 30941-2024")</f>
        <v/>
      </c>
      <c r="Y327">
        <f>HYPERLINK("https://klasma.github.io/Logging_2121/tillsynsmail/A 30941-2024 tillsynsbegäran mail.docx", "A 30941-2024")</f>
        <v/>
      </c>
    </row>
    <row r="328" ht="15" customHeight="1">
      <c r="A328" t="inlineStr">
        <is>
          <t>A 31324-2024</t>
        </is>
      </c>
      <c r="B328" s="1" t="n">
        <v>45504</v>
      </c>
      <c r="C328" s="1" t="n">
        <v>45578</v>
      </c>
      <c r="D328" t="inlineStr">
        <is>
          <t>GÄVLEBORGS LÄN</t>
        </is>
      </c>
      <c r="E328" t="inlineStr">
        <is>
          <t>LJUSDAL</t>
        </is>
      </c>
      <c r="F328" t="inlineStr">
        <is>
          <t>Sveaskog</t>
        </is>
      </c>
      <c r="G328" t="n">
        <v>14</v>
      </c>
      <c r="H328" t="n">
        <v>0</v>
      </c>
      <c r="I328" t="n">
        <v>1</v>
      </c>
      <c r="J328" t="n">
        <v>1</v>
      </c>
      <c r="K328" t="n">
        <v>0</v>
      </c>
      <c r="L328" t="n">
        <v>0</v>
      </c>
      <c r="M328" t="n">
        <v>0</v>
      </c>
      <c r="N328" t="n">
        <v>0</v>
      </c>
      <c r="O328" t="n">
        <v>1</v>
      </c>
      <c r="P328" t="n">
        <v>0</v>
      </c>
      <c r="Q328" t="n">
        <v>2</v>
      </c>
      <c r="R328" s="2" t="inlineStr">
        <is>
          <t>Kolflarnlav
Dropptaggsvamp</t>
        </is>
      </c>
      <c r="S328">
        <f>HYPERLINK("https://klasma.github.io/Logging_2161/artfynd/A 31324-2024 artfynd.xlsx", "A 31324-2024")</f>
        <v/>
      </c>
      <c r="T328">
        <f>HYPERLINK("https://klasma.github.io/Logging_2161/kartor/A 31324-2024 karta.png", "A 31324-2024")</f>
        <v/>
      </c>
      <c r="V328">
        <f>HYPERLINK("https://klasma.github.io/Logging_2161/klagomål/A 31324-2024 FSC-klagomål.docx", "A 31324-2024")</f>
        <v/>
      </c>
      <c r="W328">
        <f>HYPERLINK("https://klasma.github.io/Logging_2161/klagomålsmail/A 31324-2024 FSC-klagomål mail.docx", "A 31324-2024")</f>
        <v/>
      </c>
      <c r="X328">
        <f>HYPERLINK("https://klasma.github.io/Logging_2161/tillsyn/A 31324-2024 tillsynsbegäran.docx", "A 31324-2024")</f>
        <v/>
      </c>
      <c r="Y328">
        <f>HYPERLINK("https://klasma.github.io/Logging_2161/tillsynsmail/A 31324-2024 tillsynsbegäran mail.docx", "A 31324-2024")</f>
        <v/>
      </c>
    </row>
    <row r="329" ht="15" customHeight="1">
      <c r="A329" t="inlineStr">
        <is>
          <t>A 32173-2024</t>
        </is>
      </c>
      <c r="B329" s="1" t="n">
        <v>45511</v>
      </c>
      <c r="C329" s="1" t="n">
        <v>45578</v>
      </c>
      <c r="D329" t="inlineStr">
        <is>
          <t>GÄVLEBORGS LÄN</t>
        </is>
      </c>
      <c r="E329" t="inlineStr">
        <is>
          <t>LJUSDAL</t>
        </is>
      </c>
      <c r="F329" t="inlineStr">
        <is>
          <t>Bergvik skog väst AB</t>
        </is>
      </c>
      <c r="G329" t="n">
        <v>10.3</v>
      </c>
      <c r="H329" t="n">
        <v>0</v>
      </c>
      <c r="I329" t="n">
        <v>2</v>
      </c>
      <c r="J329" t="n">
        <v>0</v>
      </c>
      <c r="K329" t="n">
        <v>0</v>
      </c>
      <c r="L329" t="n">
        <v>0</v>
      </c>
      <c r="M329" t="n">
        <v>0</v>
      </c>
      <c r="N329" t="n">
        <v>0</v>
      </c>
      <c r="O329" t="n">
        <v>0</v>
      </c>
      <c r="P329" t="n">
        <v>0</v>
      </c>
      <c r="Q329" t="n">
        <v>2</v>
      </c>
      <c r="R329" s="2" t="inlineStr">
        <is>
          <t>Skinnlav
Stor aspticka</t>
        </is>
      </c>
      <c r="S329">
        <f>HYPERLINK("https://klasma.github.io/Logging_2161/artfynd/A 32173-2024 artfynd.xlsx", "A 32173-2024")</f>
        <v/>
      </c>
      <c r="T329">
        <f>HYPERLINK("https://klasma.github.io/Logging_2161/kartor/A 32173-2024 karta.png", "A 32173-2024")</f>
        <v/>
      </c>
      <c r="U329">
        <f>HYPERLINK("https://klasma.github.io/Logging_2161/knärot/A 32173-2024 karta knärot.png", "A 32173-2024")</f>
        <v/>
      </c>
      <c r="V329">
        <f>HYPERLINK("https://klasma.github.io/Logging_2161/klagomål/A 32173-2024 FSC-klagomål.docx", "A 32173-2024")</f>
        <v/>
      </c>
      <c r="W329">
        <f>HYPERLINK("https://klasma.github.io/Logging_2161/klagomålsmail/A 32173-2024 FSC-klagomål mail.docx", "A 32173-2024")</f>
        <v/>
      </c>
      <c r="X329">
        <f>HYPERLINK("https://klasma.github.io/Logging_2161/tillsyn/A 32173-2024 tillsynsbegäran.docx", "A 32173-2024")</f>
        <v/>
      </c>
      <c r="Y329">
        <f>HYPERLINK("https://klasma.github.io/Logging_2161/tillsynsmail/A 32173-2024 tillsynsbegäran mail.docx", "A 32173-2024")</f>
        <v/>
      </c>
    </row>
    <row r="330" ht="15" customHeight="1">
      <c r="A330" t="inlineStr">
        <is>
          <t>A 32364-2024</t>
        </is>
      </c>
      <c r="B330" s="1" t="n">
        <v>45512</v>
      </c>
      <c r="C330" s="1" t="n">
        <v>45578</v>
      </c>
      <c r="D330" t="inlineStr">
        <is>
          <t>GÄVLEBORGS LÄN</t>
        </is>
      </c>
      <c r="E330" t="inlineStr">
        <is>
          <t>LJUSDAL</t>
        </is>
      </c>
      <c r="F330" t="inlineStr">
        <is>
          <t>Sveaskog</t>
        </is>
      </c>
      <c r="G330" t="n">
        <v>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32364-2024 artfynd.xlsx", "A 32364-2024")</f>
        <v/>
      </c>
      <c r="T330">
        <f>HYPERLINK("https://klasma.github.io/Logging_2161/kartor/A 32364-2024 karta.png", "A 32364-2024")</f>
        <v/>
      </c>
      <c r="V330">
        <f>HYPERLINK("https://klasma.github.io/Logging_2161/klagomål/A 32364-2024 FSC-klagomål.docx", "A 32364-2024")</f>
        <v/>
      </c>
      <c r="W330">
        <f>HYPERLINK("https://klasma.github.io/Logging_2161/klagomålsmail/A 32364-2024 FSC-klagomål mail.docx", "A 32364-2024")</f>
        <v/>
      </c>
      <c r="X330">
        <f>HYPERLINK("https://klasma.github.io/Logging_2161/tillsyn/A 32364-2024 tillsynsbegäran.docx", "A 32364-2024")</f>
        <v/>
      </c>
      <c r="Y330">
        <f>HYPERLINK("https://klasma.github.io/Logging_2161/tillsynsmail/A 32364-2024 tillsynsbegäran mail.docx", "A 32364-2024")</f>
        <v/>
      </c>
    </row>
    <row r="331" ht="15" customHeight="1">
      <c r="A331" t="inlineStr">
        <is>
          <t>A 34082-2024</t>
        </is>
      </c>
      <c r="B331" s="1" t="n">
        <v>45523</v>
      </c>
      <c r="C331" s="1" t="n">
        <v>45578</v>
      </c>
      <c r="D331" t="inlineStr">
        <is>
          <t>GÄVLEBORGS LÄN</t>
        </is>
      </c>
      <c r="E331" t="inlineStr">
        <is>
          <t>GÄVLE</t>
        </is>
      </c>
      <c r="F331" t="inlineStr">
        <is>
          <t>Bergvik skog väst AB</t>
        </is>
      </c>
      <c r="G331" t="n">
        <v>6.1</v>
      </c>
      <c r="H331" t="n">
        <v>1</v>
      </c>
      <c r="I331" t="n">
        <v>1</v>
      </c>
      <c r="J331" t="n">
        <v>0</v>
      </c>
      <c r="K331" t="n">
        <v>0</v>
      </c>
      <c r="L331" t="n">
        <v>0</v>
      </c>
      <c r="M331" t="n">
        <v>0</v>
      </c>
      <c r="N331" t="n">
        <v>0</v>
      </c>
      <c r="O331" t="n">
        <v>0</v>
      </c>
      <c r="P331" t="n">
        <v>0</v>
      </c>
      <c r="Q331" t="n">
        <v>2</v>
      </c>
      <c r="R331" s="2" t="inlineStr">
        <is>
          <t>Vårärt
Blåsippa</t>
        </is>
      </c>
      <c r="S331">
        <f>HYPERLINK("https://klasma.github.io/Logging_2180/artfynd/A 34082-2024 artfynd.xlsx", "A 34082-2024")</f>
        <v/>
      </c>
      <c r="T331">
        <f>HYPERLINK("https://klasma.github.io/Logging_2180/kartor/A 34082-2024 karta.png", "A 34082-2024")</f>
        <v/>
      </c>
      <c r="V331">
        <f>HYPERLINK("https://klasma.github.io/Logging_2180/klagomål/A 34082-2024 FSC-klagomål.docx", "A 34082-2024")</f>
        <v/>
      </c>
      <c r="W331">
        <f>HYPERLINK("https://klasma.github.io/Logging_2180/klagomålsmail/A 34082-2024 FSC-klagomål mail.docx", "A 34082-2024")</f>
        <v/>
      </c>
      <c r="X331">
        <f>HYPERLINK("https://klasma.github.io/Logging_2180/tillsyn/A 34082-2024 tillsynsbegäran.docx", "A 34082-2024")</f>
        <v/>
      </c>
      <c r="Y331">
        <f>HYPERLINK("https://klasma.github.io/Logging_2180/tillsynsmail/A 34082-2024 tillsynsbegäran mail.docx", "A 34082-2024")</f>
        <v/>
      </c>
    </row>
    <row r="332" ht="15" customHeight="1">
      <c r="A332" t="inlineStr">
        <is>
          <t>A 34997-2024</t>
        </is>
      </c>
      <c r="B332" s="1" t="n">
        <v>45527</v>
      </c>
      <c r="C332" s="1" t="n">
        <v>45578</v>
      </c>
      <c r="D332" t="inlineStr">
        <is>
          <t>GÄVLEBORGS LÄN</t>
        </is>
      </c>
      <c r="E332" t="inlineStr">
        <is>
          <t>LJUSDAL</t>
        </is>
      </c>
      <c r="F332" t="inlineStr">
        <is>
          <t>Sveaskog</t>
        </is>
      </c>
      <c r="G332" t="n">
        <v>5.3</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34997-2024 artfynd.xlsx", "A 34997-2024")</f>
        <v/>
      </c>
      <c r="T332">
        <f>HYPERLINK("https://klasma.github.io/Logging_2161/kartor/A 34997-2024 karta.png", "A 34997-2024")</f>
        <v/>
      </c>
      <c r="V332">
        <f>HYPERLINK("https://klasma.github.io/Logging_2161/klagomål/A 34997-2024 FSC-klagomål.docx", "A 34997-2024")</f>
        <v/>
      </c>
      <c r="W332">
        <f>HYPERLINK("https://klasma.github.io/Logging_2161/klagomålsmail/A 34997-2024 FSC-klagomål mail.docx", "A 34997-2024")</f>
        <v/>
      </c>
      <c r="X332">
        <f>HYPERLINK("https://klasma.github.io/Logging_2161/tillsyn/A 34997-2024 tillsynsbegäran.docx", "A 34997-2024")</f>
        <v/>
      </c>
      <c r="Y332">
        <f>HYPERLINK("https://klasma.github.io/Logging_2161/tillsynsmail/A 34997-2024 tillsynsbegäran mail.docx", "A 34997-2024")</f>
        <v/>
      </c>
    </row>
    <row r="333" ht="15" customHeight="1">
      <c r="A333" t="inlineStr">
        <is>
          <t>A 35350-2024</t>
        </is>
      </c>
      <c r="B333" s="1" t="n">
        <v>45531</v>
      </c>
      <c r="C333" s="1" t="n">
        <v>45578</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35350-2024 artfynd.xlsx", "A 35350-2024")</f>
        <v/>
      </c>
      <c r="T333">
        <f>HYPERLINK("https://klasma.github.io/Logging_2121/kartor/A 35350-2024 karta.png", "A 35350-2024")</f>
        <v/>
      </c>
      <c r="V333">
        <f>HYPERLINK("https://klasma.github.io/Logging_2121/klagomål/A 35350-2024 FSC-klagomål.docx", "A 35350-2024")</f>
        <v/>
      </c>
      <c r="W333">
        <f>HYPERLINK("https://klasma.github.io/Logging_2121/klagomålsmail/A 35350-2024 FSC-klagomål mail.docx", "A 35350-2024")</f>
        <v/>
      </c>
      <c r="X333">
        <f>HYPERLINK("https://klasma.github.io/Logging_2121/tillsyn/A 35350-2024 tillsynsbegäran.docx", "A 35350-2024")</f>
        <v/>
      </c>
      <c r="Y333">
        <f>HYPERLINK("https://klasma.github.io/Logging_2121/tillsynsmail/A 35350-2024 tillsynsbegäran mail.docx", "A 35350-2024")</f>
        <v/>
      </c>
    </row>
    <row r="334" ht="15" customHeight="1">
      <c r="A334" t="inlineStr">
        <is>
          <t>A 35697-2024</t>
        </is>
      </c>
      <c r="B334" s="1" t="n">
        <v>45532</v>
      </c>
      <c r="C334" s="1" t="n">
        <v>45578</v>
      </c>
      <c r="D334" t="inlineStr">
        <is>
          <t>GÄVLEBORGS LÄN</t>
        </is>
      </c>
      <c r="E334" t="inlineStr">
        <is>
          <t>LJUSDAL</t>
        </is>
      </c>
      <c r="F334" t="inlineStr">
        <is>
          <t>Bergvik skog väst AB</t>
        </is>
      </c>
      <c r="G334" t="n">
        <v>9.800000000000001</v>
      </c>
      <c r="H334" t="n">
        <v>1</v>
      </c>
      <c r="I334" t="n">
        <v>0</v>
      </c>
      <c r="J334" t="n">
        <v>1</v>
      </c>
      <c r="K334" t="n">
        <v>0</v>
      </c>
      <c r="L334" t="n">
        <v>0</v>
      </c>
      <c r="M334" t="n">
        <v>0</v>
      </c>
      <c r="N334" t="n">
        <v>0</v>
      </c>
      <c r="O334" t="n">
        <v>1</v>
      </c>
      <c r="P334" t="n">
        <v>0</v>
      </c>
      <c r="Q334" t="n">
        <v>2</v>
      </c>
      <c r="R334" s="2" t="inlineStr">
        <is>
          <t>Garnlav
Nattviol</t>
        </is>
      </c>
      <c r="S334">
        <f>HYPERLINK("https://klasma.github.io/Logging_2161/artfynd/A 35697-2024 artfynd.xlsx", "A 35697-2024")</f>
        <v/>
      </c>
      <c r="T334">
        <f>HYPERLINK("https://klasma.github.io/Logging_2161/kartor/A 35697-2024 karta.png", "A 35697-2024")</f>
        <v/>
      </c>
      <c r="V334">
        <f>HYPERLINK("https://klasma.github.io/Logging_2161/klagomål/A 35697-2024 FSC-klagomål.docx", "A 35697-2024")</f>
        <v/>
      </c>
      <c r="W334">
        <f>HYPERLINK("https://klasma.github.io/Logging_2161/klagomålsmail/A 35697-2024 FSC-klagomål mail.docx", "A 35697-2024")</f>
        <v/>
      </c>
      <c r="X334">
        <f>HYPERLINK("https://klasma.github.io/Logging_2161/tillsyn/A 35697-2024 tillsynsbegäran.docx", "A 35697-2024")</f>
        <v/>
      </c>
      <c r="Y334">
        <f>HYPERLINK("https://klasma.github.io/Logging_2161/tillsynsmail/A 35697-2024 tillsynsbegäran mail.docx", "A 35697-2024")</f>
        <v/>
      </c>
    </row>
    <row r="335" ht="15" customHeight="1">
      <c r="A335" t="inlineStr">
        <is>
          <t>A 36074-2024</t>
        </is>
      </c>
      <c r="B335" s="1" t="n">
        <v>45533</v>
      </c>
      <c r="C335" s="1" t="n">
        <v>45578</v>
      </c>
      <c r="D335" t="inlineStr">
        <is>
          <t>GÄVLEBORGS LÄN</t>
        </is>
      </c>
      <c r="E335" t="inlineStr">
        <is>
          <t>LJUSDAL</t>
        </is>
      </c>
      <c r="F335" t="inlineStr">
        <is>
          <t>Sveaskog</t>
        </is>
      </c>
      <c r="G335" t="n">
        <v>1</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36074-2024 artfynd.xlsx", "A 36074-2024")</f>
        <v/>
      </c>
      <c r="T335">
        <f>HYPERLINK("https://klasma.github.io/Logging_2161/kartor/A 36074-2024 karta.png", "A 36074-2024")</f>
        <v/>
      </c>
      <c r="V335">
        <f>HYPERLINK("https://klasma.github.io/Logging_2161/klagomål/A 36074-2024 FSC-klagomål.docx", "A 36074-2024")</f>
        <v/>
      </c>
      <c r="W335">
        <f>HYPERLINK("https://klasma.github.io/Logging_2161/klagomålsmail/A 36074-2024 FSC-klagomål mail.docx", "A 36074-2024")</f>
        <v/>
      </c>
      <c r="X335">
        <f>HYPERLINK("https://klasma.github.io/Logging_2161/tillsyn/A 36074-2024 tillsynsbegäran.docx", "A 36074-2024")</f>
        <v/>
      </c>
      <c r="Y335">
        <f>HYPERLINK("https://klasma.github.io/Logging_2161/tillsynsmail/A 36074-2024 tillsynsbegäran mail.docx", "A 36074-2024")</f>
        <v/>
      </c>
    </row>
    <row r="336" ht="15" customHeight="1">
      <c r="A336" t="inlineStr">
        <is>
          <t>A 36310-2024</t>
        </is>
      </c>
      <c r="B336" s="1" t="n">
        <v>45534</v>
      </c>
      <c r="C336" s="1" t="n">
        <v>45578</v>
      </c>
      <c r="D336" t="inlineStr">
        <is>
          <t>GÄVLEBORGS LÄN</t>
        </is>
      </c>
      <c r="E336" t="inlineStr">
        <is>
          <t>NORDANSTIG</t>
        </is>
      </c>
      <c r="F336" t="inlineStr">
        <is>
          <t>Holmen skog AB</t>
        </is>
      </c>
      <c r="G336" t="n">
        <v>6.5</v>
      </c>
      <c r="H336" t="n">
        <v>1</v>
      </c>
      <c r="I336" t="n">
        <v>1</v>
      </c>
      <c r="J336" t="n">
        <v>0</v>
      </c>
      <c r="K336" t="n">
        <v>0</v>
      </c>
      <c r="L336" t="n">
        <v>0</v>
      </c>
      <c r="M336" t="n">
        <v>0</v>
      </c>
      <c r="N336" t="n">
        <v>0</v>
      </c>
      <c r="O336" t="n">
        <v>0</v>
      </c>
      <c r="P336" t="n">
        <v>0</v>
      </c>
      <c r="Q336" t="n">
        <v>2</v>
      </c>
      <c r="R336" s="2" t="inlineStr">
        <is>
          <t>Nästlav
Revlummer</t>
        </is>
      </c>
      <c r="S336">
        <f>HYPERLINK("https://klasma.github.io/Logging_2132/artfynd/A 36310-2024 artfynd.xlsx", "A 36310-2024")</f>
        <v/>
      </c>
      <c r="T336">
        <f>HYPERLINK("https://klasma.github.io/Logging_2132/kartor/A 36310-2024 karta.png", "A 36310-2024")</f>
        <v/>
      </c>
      <c r="V336">
        <f>HYPERLINK("https://klasma.github.io/Logging_2132/klagomål/A 36310-2024 FSC-klagomål.docx", "A 36310-2024")</f>
        <v/>
      </c>
      <c r="W336">
        <f>HYPERLINK("https://klasma.github.io/Logging_2132/klagomålsmail/A 36310-2024 FSC-klagomål mail.docx", "A 36310-2024")</f>
        <v/>
      </c>
      <c r="X336">
        <f>HYPERLINK("https://klasma.github.io/Logging_2132/tillsyn/A 36310-2024 tillsynsbegäran.docx", "A 36310-2024")</f>
        <v/>
      </c>
      <c r="Y336">
        <f>HYPERLINK("https://klasma.github.io/Logging_2132/tillsynsmail/A 36310-2024 tillsynsbegäran mail.docx", "A 36310-2024")</f>
        <v/>
      </c>
    </row>
    <row r="337" ht="15" customHeight="1">
      <c r="A337" t="inlineStr">
        <is>
          <t>A 38306-2024</t>
        </is>
      </c>
      <c r="B337" s="1" t="n">
        <v>45545</v>
      </c>
      <c r="C337" s="1" t="n">
        <v>45578</v>
      </c>
      <c r="D337" t="inlineStr">
        <is>
          <t>GÄVLEBORGS LÄN</t>
        </is>
      </c>
      <c r="E337" t="inlineStr">
        <is>
          <t>LJUSDAL</t>
        </is>
      </c>
      <c r="F337" t="inlineStr">
        <is>
          <t>Sveaskog</t>
        </is>
      </c>
      <c r="G337" t="n">
        <v>4.1</v>
      </c>
      <c r="H337" t="n">
        <v>0</v>
      </c>
      <c r="I337" t="n">
        <v>0</v>
      </c>
      <c r="J337" t="n">
        <v>2</v>
      </c>
      <c r="K337" t="n">
        <v>0</v>
      </c>
      <c r="L337" t="n">
        <v>0</v>
      </c>
      <c r="M337" t="n">
        <v>0</v>
      </c>
      <c r="N337" t="n">
        <v>0</v>
      </c>
      <c r="O337" t="n">
        <v>2</v>
      </c>
      <c r="P337" t="n">
        <v>0</v>
      </c>
      <c r="Q337" t="n">
        <v>2</v>
      </c>
      <c r="R337" s="2" t="inlineStr">
        <is>
          <t>Garnlav
Lunglav</t>
        </is>
      </c>
      <c r="S337">
        <f>HYPERLINK("https://klasma.github.io/Logging_2161/artfynd/A 38306-2024 artfynd.xlsx", "A 38306-2024")</f>
        <v/>
      </c>
      <c r="T337">
        <f>HYPERLINK("https://klasma.github.io/Logging_2161/kartor/A 38306-2024 karta.png", "A 38306-2024")</f>
        <v/>
      </c>
      <c r="V337">
        <f>HYPERLINK("https://klasma.github.io/Logging_2161/klagomål/A 38306-2024 FSC-klagomål.docx", "A 38306-2024")</f>
        <v/>
      </c>
      <c r="W337">
        <f>HYPERLINK("https://klasma.github.io/Logging_2161/klagomålsmail/A 38306-2024 FSC-klagomål mail.docx", "A 38306-2024")</f>
        <v/>
      </c>
      <c r="X337">
        <f>HYPERLINK("https://klasma.github.io/Logging_2161/tillsyn/A 38306-2024 tillsynsbegäran.docx", "A 38306-2024")</f>
        <v/>
      </c>
      <c r="Y337">
        <f>HYPERLINK("https://klasma.github.io/Logging_2161/tillsynsmail/A 38306-2024 tillsynsbegäran mail.docx", "A 38306-2024")</f>
        <v/>
      </c>
    </row>
    <row r="338" ht="15" customHeight="1">
      <c r="A338" t="inlineStr">
        <is>
          <t>A 39889-2024</t>
        </is>
      </c>
      <c r="B338" s="1" t="n">
        <v>45553</v>
      </c>
      <c r="C338" s="1" t="n">
        <v>45578</v>
      </c>
      <c r="D338" t="inlineStr">
        <is>
          <t>GÄVLEBORGS LÄN</t>
        </is>
      </c>
      <c r="E338" t="inlineStr">
        <is>
          <t>LJUSDAL</t>
        </is>
      </c>
      <c r="F338" t="inlineStr">
        <is>
          <t>Sveaskog</t>
        </is>
      </c>
      <c r="G338" t="n">
        <v>1.5</v>
      </c>
      <c r="H338" t="n">
        <v>1</v>
      </c>
      <c r="I338" t="n">
        <v>0</v>
      </c>
      <c r="J338" t="n">
        <v>1</v>
      </c>
      <c r="K338" t="n">
        <v>1</v>
      </c>
      <c r="L338" t="n">
        <v>0</v>
      </c>
      <c r="M338" t="n">
        <v>0</v>
      </c>
      <c r="N338" t="n">
        <v>0</v>
      </c>
      <c r="O338" t="n">
        <v>2</v>
      </c>
      <c r="P338" t="n">
        <v>1</v>
      </c>
      <c r="Q338" t="n">
        <v>2</v>
      </c>
      <c r="R338" s="2" t="inlineStr">
        <is>
          <t>Knärot
Ullticka</t>
        </is>
      </c>
      <c r="S338">
        <f>HYPERLINK("https://klasma.github.io/Logging_2161/artfynd/A 39889-2024 artfynd.xlsx", "A 39889-2024")</f>
        <v/>
      </c>
      <c r="T338">
        <f>HYPERLINK("https://klasma.github.io/Logging_2161/kartor/A 39889-2024 karta.png", "A 39889-2024")</f>
        <v/>
      </c>
      <c r="U338">
        <f>HYPERLINK("https://klasma.github.io/Logging_2161/knärot/A 39889-2024 karta knärot.png", "A 39889-2024")</f>
        <v/>
      </c>
      <c r="V338">
        <f>HYPERLINK("https://klasma.github.io/Logging_2161/klagomål/A 39889-2024 FSC-klagomål.docx", "A 39889-2024")</f>
        <v/>
      </c>
      <c r="W338">
        <f>HYPERLINK("https://klasma.github.io/Logging_2161/klagomålsmail/A 39889-2024 FSC-klagomål mail.docx", "A 39889-2024")</f>
        <v/>
      </c>
      <c r="X338">
        <f>HYPERLINK("https://klasma.github.io/Logging_2161/tillsyn/A 39889-2024 tillsynsbegäran.docx", "A 39889-2024")</f>
        <v/>
      </c>
      <c r="Y338">
        <f>HYPERLINK("https://klasma.github.io/Logging_2161/tillsynsmail/A 39889-2024 tillsynsbegäran mail.docx", "A 39889-2024")</f>
        <v/>
      </c>
    </row>
    <row r="339" ht="15" customHeight="1">
      <c r="A339" t="inlineStr">
        <is>
          <t>A 42624-2024</t>
        </is>
      </c>
      <c r="B339" s="1" t="n">
        <v>45565</v>
      </c>
      <c r="C339" s="1" t="n">
        <v>45578</v>
      </c>
      <c r="D339" t="inlineStr">
        <is>
          <t>GÄVLEBORGS LÄN</t>
        </is>
      </c>
      <c r="E339" t="inlineStr">
        <is>
          <t>HUDIKSVALL</t>
        </is>
      </c>
      <c r="G339" t="n">
        <v>1.5</v>
      </c>
      <c r="H339" t="n">
        <v>0</v>
      </c>
      <c r="I339" t="n">
        <v>0</v>
      </c>
      <c r="J339" t="n">
        <v>2</v>
      </c>
      <c r="K339" t="n">
        <v>0</v>
      </c>
      <c r="L339" t="n">
        <v>0</v>
      </c>
      <c r="M339" t="n">
        <v>0</v>
      </c>
      <c r="N339" t="n">
        <v>0</v>
      </c>
      <c r="O339" t="n">
        <v>2</v>
      </c>
      <c r="P339" t="n">
        <v>0</v>
      </c>
      <c r="Q339" t="n">
        <v>2</v>
      </c>
      <c r="R339" s="2" t="inlineStr">
        <is>
          <t>Vedflikmossa
Violettgrå tagellav</t>
        </is>
      </c>
      <c r="S339">
        <f>HYPERLINK("https://klasma.github.io/Logging_2184/artfynd/A 42624-2024 artfynd.xlsx", "A 42624-2024")</f>
        <v/>
      </c>
      <c r="T339">
        <f>HYPERLINK("https://klasma.github.io/Logging_2184/kartor/A 42624-2024 karta.png", "A 42624-2024")</f>
        <v/>
      </c>
      <c r="V339">
        <f>HYPERLINK("https://klasma.github.io/Logging_2184/klagomål/A 42624-2024 FSC-klagomål.docx", "A 42624-2024")</f>
        <v/>
      </c>
      <c r="W339">
        <f>HYPERLINK("https://klasma.github.io/Logging_2184/klagomålsmail/A 42624-2024 FSC-klagomål mail.docx", "A 42624-2024")</f>
        <v/>
      </c>
      <c r="X339">
        <f>HYPERLINK("https://klasma.github.io/Logging_2184/tillsyn/A 42624-2024 tillsynsbegäran.docx", "A 42624-2024")</f>
        <v/>
      </c>
      <c r="Y339">
        <f>HYPERLINK("https://klasma.github.io/Logging_2184/tillsynsmail/A 42624-2024 tillsynsbegäran mail.docx", "A 42624-2024")</f>
        <v/>
      </c>
    </row>
    <row r="340" ht="15" customHeight="1">
      <c r="A340" t="inlineStr">
        <is>
          <t>A 42706-2024</t>
        </is>
      </c>
      <c r="B340" s="1" t="n">
        <v>45566</v>
      </c>
      <c r="C340" s="1" t="n">
        <v>45578</v>
      </c>
      <c r="D340" t="inlineStr">
        <is>
          <t>GÄVLEBORGS LÄN</t>
        </is>
      </c>
      <c r="E340" t="inlineStr">
        <is>
          <t>LJUSDAL</t>
        </is>
      </c>
      <c r="F340" t="inlineStr">
        <is>
          <t>Kommuner</t>
        </is>
      </c>
      <c r="G340" t="n">
        <v>1.5</v>
      </c>
      <c r="H340" t="n">
        <v>0</v>
      </c>
      <c r="I340" t="n">
        <v>0</v>
      </c>
      <c r="J340" t="n">
        <v>2</v>
      </c>
      <c r="K340" t="n">
        <v>0</v>
      </c>
      <c r="L340" t="n">
        <v>0</v>
      </c>
      <c r="M340" t="n">
        <v>0</v>
      </c>
      <c r="N340" t="n">
        <v>0</v>
      </c>
      <c r="O340" t="n">
        <v>2</v>
      </c>
      <c r="P340" t="n">
        <v>0</v>
      </c>
      <c r="Q340" t="n">
        <v>2</v>
      </c>
      <c r="R340" s="2" t="inlineStr">
        <is>
          <t>Lunglav
Violettgrå tagellav</t>
        </is>
      </c>
      <c r="S340">
        <f>HYPERLINK("https://klasma.github.io/Logging_2161/artfynd/A 42706-2024 artfynd.xlsx", "A 42706-2024")</f>
        <v/>
      </c>
      <c r="T340">
        <f>HYPERLINK("https://klasma.github.io/Logging_2161/kartor/A 42706-2024 karta.png", "A 42706-2024")</f>
        <v/>
      </c>
      <c r="U340">
        <f>HYPERLINK("https://klasma.github.io/Logging_2161/knärot/A 42706-2024 karta knärot.png", "A 42706-2024")</f>
        <v/>
      </c>
      <c r="V340">
        <f>HYPERLINK("https://klasma.github.io/Logging_2161/klagomål/A 42706-2024 FSC-klagomål.docx", "A 42706-2024")</f>
        <v/>
      </c>
      <c r="W340">
        <f>HYPERLINK("https://klasma.github.io/Logging_2161/klagomålsmail/A 42706-2024 FSC-klagomål mail.docx", "A 42706-2024")</f>
        <v/>
      </c>
      <c r="X340">
        <f>HYPERLINK("https://klasma.github.io/Logging_2161/tillsyn/A 42706-2024 tillsynsbegäran.docx", "A 42706-2024")</f>
        <v/>
      </c>
      <c r="Y340">
        <f>HYPERLINK("https://klasma.github.io/Logging_2161/tillsynsmail/A 42706-2024 tillsynsbegäran mail.docx", "A 42706-2024")</f>
        <v/>
      </c>
    </row>
    <row r="341" ht="15" customHeight="1">
      <c r="A341" t="inlineStr">
        <is>
          <t>A 17966-2019</t>
        </is>
      </c>
      <c r="B341" s="1" t="n">
        <v>43557</v>
      </c>
      <c r="C341" s="1" t="n">
        <v>45578</v>
      </c>
      <c r="D341" t="inlineStr">
        <is>
          <t>GÄVLEBORGS LÄN</t>
        </is>
      </c>
      <c r="E341" t="inlineStr">
        <is>
          <t>LJUSDAL</t>
        </is>
      </c>
      <c r="G341" t="n">
        <v>0.7</v>
      </c>
      <c r="H341" t="n">
        <v>1</v>
      </c>
      <c r="I341" t="n">
        <v>0</v>
      </c>
      <c r="J341" t="n">
        <v>1</v>
      </c>
      <c r="K341" t="n">
        <v>0</v>
      </c>
      <c r="L341" t="n">
        <v>0</v>
      </c>
      <c r="M341" t="n">
        <v>0</v>
      </c>
      <c r="N341" t="n">
        <v>0</v>
      </c>
      <c r="O341" t="n">
        <v>1</v>
      </c>
      <c r="P341" t="n">
        <v>0</v>
      </c>
      <c r="Q341" t="n">
        <v>1</v>
      </c>
      <c r="R341" s="2" t="inlineStr">
        <is>
          <t>Talltita</t>
        </is>
      </c>
      <c r="S341">
        <f>HYPERLINK("https://klasma.github.io/Logging_2161/artfynd/A 17966-2019 artfynd.xlsx", "A 17966-2019")</f>
        <v/>
      </c>
      <c r="T341">
        <f>HYPERLINK("https://klasma.github.io/Logging_2161/kartor/A 17966-2019 karta.png", "A 17966-2019")</f>
        <v/>
      </c>
      <c r="V341">
        <f>HYPERLINK("https://klasma.github.io/Logging_2161/klagomål/A 17966-2019 FSC-klagomål.docx", "A 17966-2019")</f>
        <v/>
      </c>
      <c r="W341">
        <f>HYPERLINK("https://klasma.github.io/Logging_2161/klagomålsmail/A 17966-2019 FSC-klagomål mail.docx", "A 17966-2019")</f>
        <v/>
      </c>
      <c r="X341">
        <f>HYPERLINK("https://klasma.github.io/Logging_2161/tillsyn/A 17966-2019 tillsynsbegäran.docx", "A 17966-2019")</f>
        <v/>
      </c>
      <c r="Y341">
        <f>HYPERLINK("https://klasma.github.io/Logging_2161/tillsynsmail/A 17966-2019 tillsynsbegäran mail.docx", "A 17966-2019")</f>
        <v/>
      </c>
      <c r="Z341">
        <f>HYPERLINK("https://klasma.github.io/Logging_2161/fåglar/A 17966-2019 prioriterade fågelarter.docx", "A 17966-2019")</f>
        <v/>
      </c>
    </row>
    <row r="342" ht="15" customHeight="1">
      <c r="A342" t="inlineStr">
        <is>
          <t>A 22616-2019</t>
        </is>
      </c>
      <c r="B342" s="1" t="n">
        <v>43588</v>
      </c>
      <c r="C342" s="1" t="n">
        <v>45578</v>
      </c>
      <c r="D342" t="inlineStr">
        <is>
          <t>GÄVLEBORGS LÄN</t>
        </is>
      </c>
      <c r="E342" t="inlineStr">
        <is>
          <t>GÄVLE</t>
        </is>
      </c>
      <c r="F342" t="inlineStr">
        <is>
          <t>Kommuner</t>
        </is>
      </c>
      <c r="G342" t="n">
        <v>7.1</v>
      </c>
      <c r="H342" t="n">
        <v>0</v>
      </c>
      <c r="I342" t="n">
        <v>0</v>
      </c>
      <c r="J342" t="n">
        <v>1</v>
      </c>
      <c r="K342" t="n">
        <v>0</v>
      </c>
      <c r="L342" t="n">
        <v>0</v>
      </c>
      <c r="M342" t="n">
        <v>0</v>
      </c>
      <c r="N342" t="n">
        <v>0</v>
      </c>
      <c r="O342" t="n">
        <v>1</v>
      </c>
      <c r="P342" t="n">
        <v>0</v>
      </c>
      <c r="Q342" t="n">
        <v>1</v>
      </c>
      <c r="R342" s="2" t="inlineStr">
        <is>
          <t>Sotnätfjäril</t>
        </is>
      </c>
      <c r="S342">
        <f>HYPERLINK("https://klasma.github.io/Logging_2180/artfynd/A 22616-2019 artfynd.xlsx", "A 22616-2019")</f>
        <v/>
      </c>
      <c r="T342">
        <f>HYPERLINK("https://klasma.github.io/Logging_2180/kartor/A 22616-2019 karta.png", "A 22616-2019")</f>
        <v/>
      </c>
      <c r="V342">
        <f>HYPERLINK("https://klasma.github.io/Logging_2180/klagomål/A 22616-2019 FSC-klagomål.docx", "A 22616-2019")</f>
        <v/>
      </c>
      <c r="W342">
        <f>HYPERLINK("https://klasma.github.io/Logging_2180/klagomålsmail/A 22616-2019 FSC-klagomål mail.docx", "A 22616-2019")</f>
        <v/>
      </c>
      <c r="X342">
        <f>HYPERLINK("https://klasma.github.io/Logging_2180/tillsyn/A 22616-2019 tillsynsbegäran.docx", "A 22616-2019")</f>
        <v/>
      </c>
      <c r="Y342">
        <f>HYPERLINK("https://klasma.github.io/Logging_2180/tillsynsmail/A 22616-2019 tillsynsbegäran mail.docx", "A 22616-2019")</f>
        <v/>
      </c>
    </row>
    <row r="343" ht="15" customHeight="1">
      <c r="A343" t="inlineStr">
        <is>
          <t>A 24535-2019</t>
        </is>
      </c>
      <c r="B343" s="1" t="n">
        <v>43600</v>
      </c>
      <c r="C343" s="1" t="n">
        <v>45578</v>
      </c>
      <c r="D343" t="inlineStr">
        <is>
          <t>GÄVLEBORGS LÄN</t>
        </is>
      </c>
      <c r="E343" t="inlineStr">
        <is>
          <t>BOLLNÄS</t>
        </is>
      </c>
      <c r="G343" t="n">
        <v>6.3</v>
      </c>
      <c r="H343" t="n">
        <v>0</v>
      </c>
      <c r="I343" t="n">
        <v>1</v>
      </c>
      <c r="J343" t="n">
        <v>0</v>
      </c>
      <c r="K343" t="n">
        <v>0</v>
      </c>
      <c r="L343" t="n">
        <v>0</v>
      </c>
      <c r="M343" t="n">
        <v>0</v>
      </c>
      <c r="N343" t="n">
        <v>0</v>
      </c>
      <c r="O343" t="n">
        <v>0</v>
      </c>
      <c r="P343" t="n">
        <v>0</v>
      </c>
      <c r="Q343" t="n">
        <v>1</v>
      </c>
      <c r="R343" s="2" t="inlineStr">
        <is>
          <t>Grönpyrola</t>
        </is>
      </c>
      <c r="S343">
        <f>HYPERLINK("https://klasma.github.io/Logging_2183/artfynd/A 24535-2019 artfynd.xlsx", "A 24535-2019")</f>
        <v/>
      </c>
      <c r="T343">
        <f>HYPERLINK("https://klasma.github.io/Logging_2183/kartor/A 24535-2019 karta.png", "A 24535-2019")</f>
        <v/>
      </c>
      <c r="V343">
        <f>HYPERLINK("https://klasma.github.io/Logging_2183/klagomål/A 24535-2019 FSC-klagomål.docx", "A 24535-2019")</f>
        <v/>
      </c>
      <c r="W343">
        <f>HYPERLINK("https://klasma.github.io/Logging_2183/klagomålsmail/A 24535-2019 FSC-klagomål mail.docx", "A 24535-2019")</f>
        <v/>
      </c>
      <c r="X343">
        <f>HYPERLINK("https://klasma.github.io/Logging_2183/tillsyn/A 24535-2019 tillsynsbegäran.docx", "A 24535-2019")</f>
        <v/>
      </c>
      <c r="Y343">
        <f>HYPERLINK("https://klasma.github.io/Logging_2183/tillsynsmail/A 24535-2019 tillsynsbegäran mail.docx", "A 24535-2019")</f>
        <v/>
      </c>
    </row>
    <row r="344" ht="15" customHeight="1">
      <c r="A344" t="inlineStr">
        <is>
          <t>A 27515-2019</t>
        </is>
      </c>
      <c r="B344" s="1" t="n">
        <v>43619</v>
      </c>
      <c r="C344" s="1" t="n">
        <v>45578</v>
      </c>
      <c r="D344" t="inlineStr">
        <is>
          <t>GÄVLEBORGS LÄN</t>
        </is>
      </c>
      <c r="E344" t="inlineStr">
        <is>
          <t>BOLLNÄS</t>
        </is>
      </c>
      <c r="G344" t="n">
        <v>10.8</v>
      </c>
      <c r="H344" t="n">
        <v>1</v>
      </c>
      <c r="I344" t="n">
        <v>0</v>
      </c>
      <c r="J344" t="n">
        <v>0</v>
      </c>
      <c r="K344" t="n">
        <v>1</v>
      </c>
      <c r="L344" t="n">
        <v>0</v>
      </c>
      <c r="M344" t="n">
        <v>0</v>
      </c>
      <c r="N344" t="n">
        <v>0</v>
      </c>
      <c r="O344" t="n">
        <v>1</v>
      </c>
      <c r="P344" t="n">
        <v>1</v>
      </c>
      <c r="Q344" t="n">
        <v>1</v>
      </c>
      <c r="R344" s="2" t="inlineStr">
        <is>
          <t>Knärot</t>
        </is>
      </c>
      <c r="S344">
        <f>HYPERLINK("https://klasma.github.io/Logging_2183/artfynd/A 27515-2019 artfynd.xlsx", "A 27515-2019")</f>
        <v/>
      </c>
      <c r="T344">
        <f>HYPERLINK("https://klasma.github.io/Logging_2183/kartor/A 27515-2019 karta.png", "A 27515-2019")</f>
        <v/>
      </c>
      <c r="U344">
        <f>HYPERLINK("https://klasma.github.io/Logging_2183/knärot/A 27515-2019 karta knärot.png", "A 27515-2019")</f>
        <v/>
      </c>
      <c r="V344">
        <f>HYPERLINK("https://klasma.github.io/Logging_2183/klagomål/A 27515-2019 FSC-klagomål.docx", "A 27515-2019")</f>
        <v/>
      </c>
      <c r="W344">
        <f>HYPERLINK("https://klasma.github.io/Logging_2183/klagomålsmail/A 27515-2019 FSC-klagomål mail.docx", "A 27515-2019")</f>
        <v/>
      </c>
      <c r="X344">
        <f>HYPERLINK("https://klasma.github.io/Logging_2183/tillsyn/A 27515-2019 tillsynsbegäran.docx", "A 27515-2019")</f>
        <v/>
      </c>
      <c r="Y344">
        <f>HYPERLINK("https://klasma.github.io/Logging_2183/tillsynsmail/A 27515-2019 tillsynsbegäran mail.docx", "A 27515-2019")</f>
        <v/>
      </c>
    </row>
    <row r="345" ht="15" customHeight="1">
      <c r="A345" t="inlineStr">
        <is>
          <t>A 28268-2019</t>
        </is>
      </c>
      <c r="B345" s="1" t="n">
        <v>43623</v>
      </c>
      <c r="C345" s="1" t="n">
        <v>45578</v>
      </c>
      <c r="D345" t="inlineStr">
        <is>
          <t>GÄVLEBORGS LÄN</t>
        </is>
      </c>
      <c r="E345" t="inlineStr">
        <is>
          <t>HUDIKSVALL</t>
        </is>
      </c>
      <c r="F345" t="inlineStr">
        <is>
          <t>Holmen skog AB</t>
        </is>
      </c>
      <c r="G345" t="n">
        <v>10.5</v>
      </c>
      <c r="H345" t="n">
        <v>1</v>
      </c>
      <c r="I345" t="n">
        <v>0</v>
      </c>
      <c r="J345" t="n">
        <v>0</v>
      </c>
      <c r="K345" t="n">
        <v>0</v>
      </c>
      <c r="L345" t="n">
        <v>0</v>
      </c>
      <c r="M345" t="n">
        <v>0</v>
      </c>
      <c r="N345" t="n">
        <v>0</v>
      </c>
      <c r="O345" t="n">
        <v>0</v>
      </c>
      <c r="P345" t="n">
        <v>0</v>
      </c>
      <c r="Q345" t="n">
        <v>1</v>
      </c>
      <c r="R345" s="2" t="inlineStr">
        <is>
          <t>Mattlummer</t>
        </is>
      </c>
      <c r="S345">
        <f>HYPERLINK("https://klasma.github.io/Logging_2184/artfynd/A 28268-2019 artfynd.xlsx", "A 28268-2019")</f>
        <v/>
      </c>
      <c r="T345">
        <f>HYPERLINK("https://klasma.github.io/Logging_2184/kartor/A 28268-2019 karta.png", "A 28268-2019")</f>
        <v/>
      </c>
      <c r="V345">
        <f>HYPERLINK("https://klasma.github.io/Logging_2184/klagomål/A 28268-2019 FSC-klagomål.docx", "A 28268-2019")</f>
        <v/>
      </c>
      <c r="W345">
        <f>HYPERLINK("https://klasma.github.io/Logging_2184/klagomålsmail/A 28268-2019 FSC-klagomål mail.docx", "A 28268-2019")</f>
        <v/>
      </c>
      <c r="X345">
        <f>HYPERLINK("https://klasma.github.io/Logging_2184/tillsyn/A 28268-2019 tillsynsbegäran.docx", "A 28268-2019")</f>
        <v/>
      </c>
      <c r="Y345">
        <f>HYPERLINK("https://klasma.github.io/Logging_2184/tillsynsmail/A 28268-2019 tillsynsbegäran mail.docx", "A 28268-2019")</f>
        <v/>
      </c>
    </row>
    <row r="346" ht="15" customHeight="1">
      <c r="A346" t="inlineStr">
        <is>
          <t>A 38174-2019</t>
        </is>
      </c>
      <c r="B346" s="1" t="n">
        <v>43684</v>
      </c>
      <c r="C346" s="1" t="n">
        <v>45578</v>
      </c>
      <c r="D346" t="inlineStr">
        <is>
          <t>GÄVLEBORGS LÄN</t>
        </is>
      </c>
      <c r="E346" t="inlineStr">
        <is>
          <t>HOFORS</t>
        </is>
      </c>
      <c r="G346" t="n">
        <v>14</v>
      </c>
      <c r="H346" t="n">
        <v>0</v>
      </c>
      <c r="I346" t="n">
        <v>0</v>
      </c>
      <c r="J346" t="n">
        <v>1</v>
      </c>
      <c r="K346" t="n">
        <v>0</v>
      </c>
      <c r="L346" t="n">
        <v>0</v>
      </c>
      <c r="M346" t="n">
        <v>0</v>
      </c>
      <c r="N346" t="n">
        <v>0</v>
      </c>
      <c r="O346" t="n">
        <v>1</v>
      </c>
      <c r="P346" t="n">
        <v>0</v>
      </c>
      <c r="Q346" t="n">
        <v>1</v>
      </c>
      <c r="R346" s="2" t="inlineStr">
        <is>
          <t>Ullticka</t>
        </is>
      </c>
      <c r="S346">
        <f>HYPERLINK("https://klasma.github.io/Logging_2104/artfynd/A 38174-2019 artfynd.xlsx", "A 38174-2019")</f>
        <v/>
      </c>
      <c r="T346">
        <f>HYPERLINK("https://klasma.github.io/Logging_2104/kartor/A 38174-2019 karta.png", "A 38174-2019")</f>
        <v/>
      </c>
      <c r="V346">
        <f>HYPERLINK("https://klasma.github.io/Logging_2104/klagomål/A 38174-2019 FSC-klagomål.docx", "A 38174-2019")</f>
        <v/>
      </c>
      <c r="W346">
        <f>HYPERLINK("https://klasma.github.io/Logging_2104/klagomålsmail/A 38174-2019 FSC-klagomål mail.docx", "A 38174-2019")</f>
        <v/>
      </c>
      <c r="X346">
        <f>HYPERLINK("https://klasma.github.io/Logging_2104/tillsyn/A 38174-2019 tillsynsbegäran.docx", "A 38174-2019")</f>
        <v/>
      </c>
      <c r="Y346">
        <f>HYPERLINK("https://klasma.github.io/Logging_2104/tillsynsmail/A 38174-2019 tillsynsbegäran mail.docx", "A 38174-2019")</f>
        <v/>
      </c>
    </row>
    <row r="347" ht="15" customHeight="1">
      <c r="A347" t="inlineStr">
        <is>
          <t>A 41576-2019</t>
        </is>
      </c>
      <c r="B347" s="1" t="n">
        <v>43699</v>
      </c>
      <c r="C347" s="1" t="n">
        <v>45578</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45578</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45578</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45578</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45578</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45578</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45578</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45578</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68915-2019</t>
        </is>
      </c>
      <c r="B355" s="1" t="n">
        <v>43822</v>
      </c>
      <c r="C355" s="1" t="n">
        <v>45578</v>
      </c>
      <c r="D355" t="inlineStr">
        <is>
          <t>GÄVLEBORGS LÄN</t>
        </is>
      </c>
      <c r="E355" t="inlineStr">
        <is>
          <t>NORDANSTIG</t>
        </is>
      </c>
      <c r="F355" t="inlineStr">
        <is>
          <t>Holmen skog AB</t>
        </is>
      </c>
      <c r="G355" t="n">
        <v>21.2</v>
      </c>
      <c r="H355" t="n">
        <v>1</v>
      </c>
      <c r="I355" t="n">
        <v>0</v>
      </c>
      <c r="J355" t="n">
        <v>0</v>
      </c>
      <c r="K355" t="n">
        <v>1</v>
      </c>
      <c r="L355" t="n">
        <v>0</v>
      </c>
      <c r="M355" t="n">
        <v>0</v>
      </c>
      <c r="N355" t="n">
        <v>0</v>
      </c>
      <c r="O355" t="n">
        <v>1</v>
      </c>
      <c r="P355" t="n">
        <v>1</v>
      </c>
      <c r="Q355" t="n">
        <v>1</v>
      </c>
      <c r="R355" s="2" t="inlineStr">
        <is>
          <t>Långskägg</t>
        </is>
      </c>
      <c r="S355">
        <f>HYPERLINK("https://klasma.github.io/Logging_2132/artfynd/A 68915-2019 artfynd.xlsx", "A 68915-2019")</f>
        <v/>
      </c>
      <c r="T355">
        <f>HYPERLINK("https://klasma.github.io/Logging_2132/kartor/A 68915-2019 karta.png", "A 68915-2019")</f>
        <v/>
      </c>
      <c r="V355">
        <f>HYPERLINK("https://klasma.github.io/Logging_2132/klagomål/A 68915-2019 FSC-klagomål.docx", "A 68915-2019")</f>
        <v/>
      </c>
      <c r="W355">
        <f>HYPERLINK("https://klasma.github.io/Logging_2132/klagomålsmail/A 68915-2019 FSC-klagomål mail.docx", "A 68915-2019")</f>
        <v/>
      </c>
      <c r="X355">
        <f>HYPERLINK("https://klasma.github.io/Logging_2132/tillsyn/A 68915-2019 tillsynsbegäran.docx", "A 68915-2019")</f>
        <v/>
      </c>
      <c r="Y355">
        <f>HYPERLINK("https://klasma.github.io/Logging_2132/tillsynsmail/A 68915-2019 tillsynsbegäran mail.docx", "A 68915-2019")</f>
        <v/>
      </c>
    </row>
    <row r="356" ht="15" customHeight="1">
      <c r="A356" t="inlineStr">
        <is>
          <t>A 326-2020</t>
        </is>
      </c>
      <c r="B356" s="1" t="n">
        <v>43837</v>
      </c>
      <c r="C356" s="1" t="n">
        <v>45578</v>
      </c>
      <c r="D356" t="inlineStr">
        <is>
          <t>GÄVLEBORGS LÄN</t>
        </is>
      </c>
      <c r="E356" t="inlineStr">
        <is>
          <t>OCKELBO</t>
        </is>
      </c>
      <c r="G356" t="n">
        <v>1.7</v>
      </c>
      <c r="H356" t="n">
        <v>0</v>
      </c>
      <c r="I356" t="n">
        <v>0</v>
      </c>
      <c r="J356" t="n">
        <v>1</v>
      </c>
      <c r="K356" t="n">
        <v>0</v>
      </c>
      <c r="L356" t="n">
        <v>0</v>
      </c>
      <c r="M356" t="n">
        <v>0</v>
      </c>
      <c r="N356" t="n">
        <v>0</v>
      </c>
      <c r="O356" t="n">
        <v>1</v>
      </c>
      <c r="P356" t="n">
        <v>0</v>
      </c>
      <c r="Q356" t="n">
        <v>1</v>
      </c>
      <c r="R356" s="2" t="inlineStr">
        <is>
          <t>Garnlav</t>
        </is>
      </c>
      <c r="S356">
        <f>HYPERLINK("https://klasma.github.io/Logging_2101/artfynd/A 326-2020 artfynd.xlsx", "A 326-2020")</f>
        <v/>
      </c>
      <c r="T356">
        <f>HYPERLINK("https://klasma.github.io/Logging_2101/kartor/A 326-2020 karta.png", "A 326-2020")</f>
        <v/>
      </c>
      <c r="V356">
        <f>HYPERLINK("https://klasma.github.io/Logging_2101/klagomål/A 326-2020 FSC-klagomål.docx", "A 326-2020")</f>
        <v/>
      </c>
      <c r="W356">
        <f>HYPERLINK("https://klasma.github.io/Logging_2101/klagomålsmail/A 326-2020 FSC-klagomål mail.docx", "A 326-2020")</f>
        <v/>
      </c>
      <c r="X356">
        <f>HYPERLINK("https://klasma.github.io/Logging_2101/tillsyn/A 326-2020 tillsynsbegäran.docx", "A 326-2020")</f>
        <v/>
      </c>
      <c r="Y356">
        <f>HYPERLINK("https://klasma.github.io/Logging_2101/tillsynsmail/A 326-2020 tillsynsbegäran mail.docx", "A 326-2020")</f>
        <v/>
      </c>
    </row>
    <row r="357" ht="15" customHeight="1">
      <c r="A357" t="inlineStr">
        <is>
          <t>A 1597-2020</t>
        </is>
      </c>
      <c r="B357" s="1" t="n">
        <v>43844</v>
      </c>
      <c r="C357" s="1" t="n">
        <v>45578</v>
      </c>
      <c r="D357" t="inlineStr">
        <is>
          <t>GÄVLEBORGS LÄN</t>
        </is>
      </c>
      <c r="E357" t="inlineStr">
        <is>
          <t>HUDIKSVALL</t>
        </is>
      </c>
      <c r="F357" t="inlineStr">
        <is>
          <t>Holmen skog AB</t>
        </is>
      </c>
      <c r="G357" t="n">
        <v>16.6</v>
      </c>
      <c r="H357" t="n">
        <v>1</v>
      </c>
      <c r="I357" t="n">
        <v>0</v>
      </c>
      <c r="J357" t="n">
        <v>1</v>
      </c>
      <c r="K357" t="n">
        <v>0</v>
      </c>
      <c r="L357" t="n">
        <v>0</v>
      </c>
      <c r="M357" t="n">
        <v>0</v>
      </c>
      <c r="N357" t="n">
        <v>0</v>
      </c>
      <c r="O357" t="n">
        <v>1</v>
      </c>
      <c r="P357" t="n">
        <v>0</v>
      </c>
      <c r="Q357" t="n">
        <v>1</v>
      </c>
      <c r="R357" s="2" t="inlineStr">
        <is>
          <t>Talltita</t>
        </is>
      </c>
      <c r="S357">
        <f>HYPERLINK("https://klasma.github.io/Logging_2184/artfynd/A 1597-2020 artfynd.xlsx", "A 1597-2020")</f>
        <v/>
      </c>
      <c r="T357">
        <f>HYPERLINK("https://klasma.github.io/Logging_2184/kartor/A 1597-2020 karta.png", "A 1597-2020")</f>
        <v/>
      </c>
      <c r="V357">
        <f>HYPERLINK("https://klasma.github.io/Logging_2184/klagomål/A 1597-2020 FSC-klagomål.docx", "A 1597-2020")</f>
        <v/>
      </c>
      <c r="W357">
        <f>HYPERLINK("https://klasma.github.io/Logging_2184/klagomålsmail/A 1597-2020 FSC-klagomål mail.docx", "A 1597-2020")</f>
        <v/>
      </c>
      <c r="X357">
        <f>HYPERLINK("https://klasma.github.io/Logging_2184/tillsyn/A 1597-2020 tillsynsbegäran.docx", "A 1597-2020")</f>
        <v/>
      </c>
      <c r="Y357">
        <f>HYPERLINK("https://klasma.github.io/Logging_2184/tillsynsmail/A 1597-2020 tillsynsbegäran mail.docx", "A 1597-2020")</f>
        <v/>
      </c>
      <c r="Z357">
        <f>HYPERLINK("https://klasma.github.io/Logging_2184/fåglar/A 1597-2020 prioriterade fågelarter.docx", "A 1597-2020")</f>
        <v/>
      </c>
    </row>
    <row r="358" ht="15" customHeight="1">
      <c r="A358" t="inlineStr">
        <is>
          <t>A 5923-2020</t>
        </is>
      </c>
      <c r="B358" s="1" t="n">
        <v>43864</v>
      </c>
      <c r="C358" s="1" t="n">
        <v>45578</v>
      </c>
      <c r="D358" t="inlineStr">
        <is>
          <t>GÄVLEBORGS LÄN</t>
        </is>
      </c>
      <c r="E358" t="inlineStr">
        <is>
          <t>BOLLNÄS</t>
        </is>
      </c>
      <c r="G358" t="n">
        <v>2.7</v>
      </c>
      <c r="H358" t="n">
        <v>1</v>
      </c>
      <c r="I358" t="n">
        <v>0</v>
      </c>
      <c r="J358" t="n">
        <v>1</v>
      </c>
      <c r="K358" t="n">
        <v>0</v>
      </c>
      <c r="L358" t="n">
        <v>0</v>
      </c>
      <c r="M358" t="n">
        <v>0</v>
      </c>
      <c r="N358" t="n">
        <v>0</v>
      </c>
      <c r="O358" t="n">
        <v>1</v>
      </c>
      <c r="P358" t="n">
        <v>0</v>
      </c>
      <c r="Q358" t="n">
        <v>1</v>
      </c>
      <c r="R358" s="2" t="inlineStr">
        <is>
          <t>Spillkråka</t>
        </is>
      </c>
      <c r="S358">
        <f>HYPERLINK("https://klasma.github.io/Logging_2183/artfynd/A 5923-2020 artfynd.xlsx", "A 5923-2020")</f>
        <v/>
      </c>
      <c r="T358">
        <f>HYPERLINK("https://klasma.github.io/Logging_2183/kartor/A 5923-2020 karta.png", "A 5923-2020")</f>
        <v/>
      </c>
      <c r="V358">
        <f>HYPERLINK("https://klasma.github.io/Logging_2183/klagomål/A 5923-2020 FSC-klagomål.docx", "A 5923-2020")</f>
        <v/>
      </c>
      <c r="W358">
        <f>HYPERLINK("https://klasma.github.io/Logging_2183/klagomålsmail/A 5923-2020 FSC-klagomål mail.docx", "A 5923-2020")</f>
        <v/>
      </c>
      <c r="X358">
        <f>HYPERLINK("https://klasma.github.io/Logging_2183/tillsyn/A 5923-2020 tillsynsbegäran.docx", "A 5923-2020")</f>
        <v/>
      </c>
      <c r="Y358">
        <f>HYPERLINK("https://klasma.github.io/Logging_2183/tillsynsmail/A 5923-2020 tillsynsbegäran mail.docx", "A 5923-2020")</f>
        <v/>
      </c>
      <c r="Z358">
        <f>HYPERLINK("https://klasma.github.io/Logging_2183/fåglar/A 5923-2020 prioriterade fågelarter.docx", "A 5923-2020")</f>
        <v/>
      </c>
    </row>
    <row r="359" ht="15" customHeight="1">
      <c r="A359" t="inlineStr">
        <is>
          <t>A 7560-2020</t>
        </is>
      </c>
      <c r="B359" s="1" t="n">
        <v>43872</v>
      </c>
      <c r="C359" s="1" t="n">
        <v>45578</v>
      </c>
      <c r="D359" t="inlineStr">
        <is>
          <t>GÄVLEBORGS LÄN</t>
        </is>
      </c>
      <c r="E359" t="inlineStr">
        <is>
          <t>LJUSDAL</t>
        </is>
      </c>
      <c r="G359" t="n">
        <v>3.9</v>
      </c>
      <c r="H359" t="n">
        <v>0</v>
      </c>
      <c r="I359" t="n">
        <v>0</v>
      </c>
      <c r="J359" t="n">
        <v>1</v>
      </c>
      <c r="K359" t="n">
        <v>0</v>
      </c>
      <c r="L359" t="n">
        <v>0</v>
      </c>
      <c r="M359" t="n">
        <v>0</v>
      </c>
      <c r="N359" t="n">
        <v>0</v>
      </c>
      <c r="O359" t="n">
        <v>1</v>
      </c>
      <c r="P359" t="n">
        <v>0</v>
      </c>
      <c r="Q359" t="n">
        <v>1</v>
      </c>
      <c r="R359" s="2" t="inlineStr">
        <is>
          <t>Blanksvart spiklav</t>
        </is>
      </c>
      <c r="S359">
        <f>HYPERLINK("https://klasma.github.io/Logging_2161/artfynd/A 7560-2020 artfynd.xlsx", "A 7560-2020")</f>
        <v/>
      </c>
      <c r="T359">
        <f>HYPERLINK("https://klasma.github.io/Logging_2161/kartor/A 7560-2020 karta.png", "A 7560-2020")</f>
        <v/>
      </c>
      <c r="V359">
        <f>HYPERLINK("https://klasma.github.io/Logging_2161/klagomål/A 7560-2020 FSC-klagomål.docx", "A 7560-2020")</f>
        <v/>
      </c>
      <c r="W359">
        <f>HYPERLINK("https://klasma.github.io/Logging_2161/klagomålsmail/A 7560-2020 FSC-klagomål mail.docx", "A 7560-2020")</f>
        <v/>
      </c>
      <c r="X359">
        <f>HYPERLINK("https://klasma.github.io/Logging_2161/tillsyn/A 7560-2020 tillsynsbegäran.docx", "A 7560-2020")</f>
        <v/>
      </c>
      <c r="Y359">
        <f>HYPERLINK("https://klasma.github.io/Logging_2161/tillsynsmail/A 7560-2020 tillsynsbegäran mail.docx", "A 7560-2020")</f>
        <v/>
      </c>
    </row>
    <row r="360" ht="15" customHeight="1">
      <c r="A360" t="inlineStr">
        <is>
          <t>A 8361-2020</t>
        </is>
      </c>
      <c r="B360" s="1" t="n">
        <v>43875</v>
      </c>
      <c r="C360" s="1" t="n">
        <v>45578</v>
      </c>
      <c r="D360" t="inlineStr">
        <is>
          <t>GÄVLEBORGS LÄN</t>
        </is>
      </c>
      <c r="E360" t="inlineStr">
        <is>
          <t>OVANÅKER</t>
        </is>
      </c>
      <c r="G360" t="n">
        <v>9.800000000000001</v>
      </c>
      <c r="H360" t="n">
        <v>1</v>
      </c>
      <c r="I360" t="n">
        <v>0</v>
      </c>
      <c r="J360" t="n">
        <v>1</v>
      </c>
      <c r="K360" t="n">
        <v>0</v>
      </c>
      <c r="L360" t="n">
        <v>0</v>
      </c>
      <c r="M360" t="n">
        <v>0</v>
      </c>
      <c r="N360" t="n">
        <v>0</v>
      </c>
      <c r="O360" t="n">
        <v>1</v>
      </c>
      <c r="P360" t="n">
        <v>0</v>
      </c>
      <c r="Q360" t="n">
        <v>1</v>
      </c>
      <c r="R360" s="2" t="inlineStr">
        <is>
          <t>Slaguggla</t>
        </is>
      </c>
      <c r="S360">
        <f>HYPERLINK("https://klasma.github.io/Logging_2121/artfynd/A 8361-2020 artfynd.xlsx", "A 8361-2020")</f>
        <v/>
      </c>
      <c r="T360">
        <f>HYPERLINK("https://klasma.github.io/Logging_2121/kartor/A 8361-2020 karta.png", "A 8361-2020")</f>
        <v/>
      </c>
      <c r="V360">
        <f>HYPERLINK("https://klasma.github.io/Logging_2121/klagomål/A 8361-2020 FSC-klagomål.docx", "A 8361-2020")</f>
        <v/>
      </c>
      <c r="W360">
        <f>HYPERLINK("https://klasma.github.io/Logging_2121/klagomålsmail/A 8361-2020 FSC-klagomål mail.docx", "A 8361-2020")</f>
        <v/>
      </c>
      <c r="X360">
        <f>HYPERLINK("https://klasma.github.io/Logging_2121/tillsyn/A 8361-2020 tillsynsbegäran.docx", "A 8361-2020")</f>
        <v/>
      </c>
      <c r="Y360">
        <f>HYPERLINK("https://klasma.github.io/Logging_2121/tillsynsmail/A 8361-2020 tillsynsbegäran mail.docx", "A 8361-2020")</f>
        <v/>
      </c>
      <c r="Z360">
        <f>HYPERLINK("https://klasma.github.io/Logging_2121/fåglar/A 8361-2020 prioriterade fågelarter.docx", "A 8361-2020")</f>
        <v/>
      </c>
    </row>
    <row r="361" ht="15" customHeight="1">
      <c r="A361" t="inlineStr">
        <is>
          <t>A 9731-2020</t>
        </is>
      </c>
      <c r="B361" s="1" t="n">
        <v>43881</v>
      </c>
      <c r="C361" s="1" t="n">
        <v>45578</v>
      </c>
      <c r="D361" t="inlineStr">
        <is>
          <t>GÄVLEBORGS LÄN</t>
        </is>
      </c>
      <c r="E361" t="inlineStr">
        <is>
          <t>SANDVIKEN</t>
        </is>
      </c>
      <c r="G361" t="n">
        <v>3.7</v>
      </c>
      <c r="H361" t="n">
        <v>1</v>
      </c>
      <c r="I361" t="n">
        <v>0</v>
      </c>
      <c r="J361" t="n">
        <v>0</v>
      </c>
      <c r="K361" t="n">
        <v>0</v>
      </c>
      <c r="L361" t="n">
        <v>0</v>
      </c>
      <c r="M361" t="n">
        <v>0</v>
      </c>
      <c r="N361" t="n">
        <v>0</v>
      </c>
      <c r="O361" t="n">
        <v>0</v>
      </c>
      <c r="P361" t="n">
        <v>0</v>
      </c>
      <c r="Q361" t="n">
        <v>1</v>
      </c>
      <c r="R361" s="2" t="inlineStr">
        <is>
          <t>Nattviol</t>
        </is>
      </c>
      <c r="S361">
        <f>HYPERLINK("https://klasma.github.io/Logging_2181/artfynd/A 9731-2020 artfynd.xlsx", "A 9731-2020")</f>
        <v/>
      </c>
      <c r="T361">
        <f>HYPERLINK("https://klasma.github.io/Logging_2181/kartor/A 9731-2020 karta.png", "A 9731-2020")</f>
        <v/>
      </c>
      <c r="V361">
        <f>HYPERLINK("https://klasma.github.io/Logging_2181/klagomål/A 9731-2020 FSC-klagomål.docx", "A 9731-2020")</f>
        <v/>
      </c>
      <c r="W361">
        <f>HYPERLINK("https://klasma.github.io/Logging_2181/klagomålsmail/A 9731-2020 FSC-klagomål mail.docx", "A 9731-2020")</f>
        <v/>
      </c>
      <c r="X361">
        <f>HYPERLINK("https://klasma.github.io/Logging_2181/tillsyn/A 9731-2020 tillsynsbegäran.docx", "A 9731-2020")</f>
        <v/>
      </c>
      <c r="Y361">
        <f>HYPERLINK("https://klasma.github.io/Logging_2181/tillsynsmail/A 9731-2020 tillsynsbegäran mail.docx", "A 9731-2020")</f>
        <v/>
      </c>
    </row>
    <row r="362" ht="15" customHeight="1">
      <c r="A362" t="inlineStr">
        <is>
          <t>A 10186-2020</t>
        </is>
      </c>
      <c r="B362" s="1" t="n">
        <v>43885</v>
      </c>
      <c r="C362" s="1" t="n">
        <v>45578</v>
      </c>
      <c r="D362" t="inlineStr">
        <is>
          <t>GÄVLEBORGS LÄN</t>
        </is>
      </c>
      <c r="E362" t="inlineStr">
        <is>
          <t>NORDANSTIG</t>
        </is>
      </c>
      <c r="F362" t="inlineStr">
        <is>
          <t>Holmen skog AB</t>
        </is>
      </c>
      <c r="G362" t="n">
        <v>4.1</v>
      </c>
      <c r="H362" t="n">
        <v>0</v>
      </c>
      <c r="I362" t="n">
        <v>0</v>
      </c>
      <c r="J362" t="n">
        <v>1</v>
      </c>
      <c r="K362" t="n">
        <v>0</v>
      </c>
      <c r="L362" t="n">
        <v>0</v>
      </c>
      <c r="M362" t="n">
        <v>0</v>
      </c>
      <c r="N362" t="n">
        <v>0</v>
      </c>
      <c r="O362" t="n">
        <v>1</v>
      </c>
      <c r="P362" t="n">
        <v>0</v>
      </c>
      <c r="Q362" t="n">
        <v>1</v>
      </c>
      <c r="R362" s="2" t="inlineStr">
        <is>
          <t>Aspskinn</t>
        </is>
      </c>
      <c r="S362">
        <f>HYPERLINK("https://klasma.github.io/Logging_2132/artfynd/A 10186-2020 artfynd.xlsx", "A 10186-2020")</f>
        <v/>
      </c>
      <c r="T362">
        <f>HYPERLINK("https://klasma.github.io/Logging_2132/kartor/A 10186-2020 karta.png", "A 10186-2020")</f>
        <v/>
      </c>
      <c r="V362">
        <f>HYPERLINK("https://klasma.github.io/Logging_2132/klagomål/A 10186-2020 FSC-klagomål.docx", "A 10186-2020")</f>
        <v/>
      </c>
      <c r="W362">
        <f>HYPERLINK("https://klasma.github.io/Logging_2132/klagomålsmail/A 10186-2020 FSC-klagomål mail.docx", "A 10186-2020")</f>
        <v/>
      </c>
      <c r="X362">
        <f>HYPERLINK("https://klasma.github.io/Logging_2132/tillsyn/A 10186-2020 tillsynsbegäran.docx", "A 10186-2020")</f>
        <v/>
      </c>
      <c r="Y362">
        <f>HYPERLINK("https://klasma.github.io/Logging_2132/tillsynsmail/A 10186-2020 tillsynsbegäran mail.docx", "A 10186-2020")</f>
        <v/>
      </c>
    </row>
    <row r="363" ht="15" customHeight="1">
      <c r="A363" t="inlineStr">
        <is>
          <t>A 13645-2020</t>
        </is>
      </c>
      <c r="B363" s="1" t="n">
        <v>43903</v>
      </c>
      <c r="C363" s="1" t="n">
        <v>45578</v>
      </c>
      <c r="D363" t="inlineStr">
        <is>
          <t>GÄVLEBORGS LÄN</t>
        </is>
      </c>
      <c r="E363" t="inlineStr">
        <is>
          <t>SANDVIKEN</t>
        </is>
      </c>
      <c r="G363" t="n">
        <v>5.9</v>
      </c>
      <c r="H363" t="n">
        <v>0</v>
      </c>
      <c r="I363" t="n">
        <v>0</v>
      </c>
      <c r="J363" t="n">
        <v>1</v>
      </c>
      <c r="K363" t="n">
        <v>0</v>
      </c>
      <c r="L363" t="n">
        <v>0</v>
      </c>
      <c r="M363" t="n">
        <v>0</v>
      </c>
      <c r="N363" t="n">
        <v>0</v>
      </c>
      <c r="O363" t="n">
        <v>1</v>
      </c>
      <c r="P363" t="n">
        <v>0</v>
      </c>
      <c r="Q363" t="n">
        <v>1</v>
      </c>
      <c r="R363" s="2" t="inlineStr">
        <is>
          <t>Tallticka</t>
        </is>
      </c>
      <c r="S363">
        <f>HYPERLINK("https://klasma.github.io/Logging_2181/artfynd/A 13645-2020 artfynd.xlsx", "A 13645-2020")</f>
        <v/>
      </c>
      <c r="T363">
        <f>HYPERLINK("https://klasma.github.io/Logging_2181/kartor/A 13645-2020 karta.png", "A 13645-2020")</f>
        <v/>
      </c>
      <c r="V363">
        <f>HYPERLINK("https://klasma.github.io/Logging_2181/klagomål/A 13645-2020 FSC-klagomål.docx", "A 13645-2020")</f>
        <v/>
      </c>
      <c r="W363">
        <f>HYPERLINK("https://klasma.github.io/Logging_2181/klagomålsmail/A 13645-2020 FSC-klagomål mail.docx", "A 13645-2020")</f>
        <v/>
      </c>
      <c r="X363">
        <f>HYPERLINK("https://klasma.github.io/Logging_2181/tillsyn/A 13645-2020 tillsynsbegäran.docx", "A 13645-2020")</f>
        <v/>
      </c>
      <c r="Y363">
        <f>HYPERLINK("https://klasma.github.io/Logging_2181/tillsynsmail/A 13645-2020 tillsynsbegäran mail.docx", "A 13645-2020")</f>
        <v/>
      </c>
    </row>
    <row r="364" ht="15" customHeight="1">
      <c r="A364" t="inlineStr">
        <is>
          <t>A 14362-2020</t>
        </is>
      </c>
      <c r="B364" s="1" t="n">
        <v>43908</v>
      </c>
      <c r="C364" s="1" t="n">
        <v>45578</v>
      </c>
      <c r="D364" t="inlineStr">
        <is>
          <t>GÄVLEBORGS LÄN</t>
        </is>
      </c>
      <c r="E364" t="inlineStr">
        <is>
          <t>HUDIKSVALL</t>
        </is>
      </c>
      <c r="F364" t="inlineStr">
        <is>
          <t>Kommuner</t>
        </is>
      </c>
      <c r="G364" t="n">
        <v>2.7</v>
      </c>
      <c r="H364" t="n">
        <v>1</v>
      </c>
      <c r="I364" t="n">
        <v>0</v>
      </c>
      <c r="J364" t="n">
        <v>1</v>
      </c>
      <c r="K364" t="n">
        <v>0</v>
      </c>
      <c r="L364" t="n">
        <v>0</v>
      </c>
      <c r="M364" t="n">
        <v>0</v>
      </c>
      <c r="N364" t="n">
        <v>0</v>
      </c>
      <c r="O364" t="n">
        <v>1</v>
      </c>
      <c r="P364" t="n">
        <v>0</v>
      </c>
      <c r="Q364" t="n">
        <v>1</v>
      </c>
      <c r="R364" s="2" t="inlineStr">
        <is>
          <t>Fiskmås</t>
        </is>
      </c>
      <c r="S364">
        <f>HYPERLINK("https://klasma.github.io/Logging_2184/artfynd/A 14362-2020 artfynd.xlsx", "A 14362-2020")</f>
        <v/>
      </c>
      <c r="T364">
        <f>HYPERLINK("https://klasma.github.io/Logging_2184/kartor/A 14362-2020 karta.png", "A 14362-2020")</f>
        <v/>
      </c>
      <c r="V364">
        <f>HYPERLINK("https://klasma.github.io/Logging_2184/klagomål/A 14362-2020 FSC-klagomål.docx", "A 14362-2020")</f>
        <v/>
      </c>
      <c r="W364">
        <f>HYPERLINK("https://klasma.github.io/Logging_2184/klagomålsmail/A 14362-2020 FSC-klagomål mail.docx", "A 14362-2020")</f>
        <v/>
      </c>
      <c r="X364">
        <f>HYPERLINK("https://klasma.github.io/Logging_2184/tillsyn/A 14362-2020 tillsynsbegäran.docx", "A 14362-2020")</f>
        <v/>
      </c>
      <c r="Y364">
        <f>HYPERLINK("https://klasma.github.io/Logging_2184/tillsynsmail/A 14362-2020 tillsynsbegäran mail.docx", "A 14362-2020")</f>
        <v/>
      </c>
    </row>
    <row r="365" ht="15" customHeight="1">
      <c r="A365" t="inlineStr">
        <is>
          <t>A 16382-2020</t>
        </is>
      </c>
      <c r="B365" s="1" t="n">
        <v>43917</v>
      </c>
      <c r="C365" s="1" t="n">
        <v>45578</v>
      </c>
      <c r="D365" t="inlineStr">
        <is>
          <t>GÄVLEBORGS LÄN</t>
        </is>
      </c>
      <c r="E365" t="inlineStr">
        <is>
          <t>HUDIKSVALL</t>
        </is>
      </c>
      <c r="F365" t="inlineStr">
        <is>
          <t>Holmen skog AB</t>
        </is>
      </c>
      <c r="G365" t="n">
        <v>6</v>
      </c>
      <c r="H365" t="n">
        <v>1</v>
      </c>
      <c r="I365" t="n">
        <v>0</v>
      </c>
      <c r="J365" t="n">
        <v>1</v>
      </c>
      <c r="K365" t="n">
        <v>0</v>
      </c>
      <c r="L365" t="n">
        <v>0</v>
      </c>
      <c r="M365" t="n">
        <v>0</v>
      </c>
      <c r="N365" t="n">
        <v>0</v>
      </c>
      <c r="O365" t="n">
        <v>1</v>
      </c>
      <c r="P365" t="n">
        <v>0</v>
      </c>
      <c r="Q365" t="n">
        <v>1</v>
      </c>
      <c r="R365" s="2" t="inlineStr">
        <is>
          <t>Fjällvråk</t>
        </is>
      </c>
      <c r="S365">
        <f>HYPERLINK("https://klasma.github.io/Logging_2184/artfynd/A 16382-2020 artfynd.xlsx", "A 16382-2020")</f>
        <v/>
      </c>
      <c r="T365">
        <f>HYPERLINK("https://klasma.github.io/Logging_2184/kartor/A 16382-2020 karta.png", "A 16382-2020")</f>
        <v/>
      </c>
      <c r="V365">
        <f>HYPERLINK("https://klasma.github.io/Logging_2184/klagomål/A 16382-2020 FSC-klagomål.docx", "A 16382-2020")</f>
        <v/>
      </c>
      <c r="W365">
        <f>HYPERLINK("https://klasma.github.io/Logging_2184/klagomålsmail/A 16382-2020 FSC-klagomål mail.docx", "A 16382-2020")</f>
        <v/>
      </c>
      <c r="X365">
        <f>HYPERLINK("https://klasma.github.io/Logging_2184/tillsyn/A 16382-2020 tillsynsbegäran.docx", "A 16382-2020")</f>
        <v/>
      </c>
      <c r="Y365">
        <f>HYPERLINK("https://klasma.github.io/Logging_2184/tillsynsmail/A 16382-2020 tillsynsbegäran mail.docx", "A 16382-2020")</f>
        <v/>
      </c>
      <c r="Z365">
        <f>HYPERLINK("https://klasma.github.io/Logging_2184/fåglar/A 16382-2020 prioriterade fågelarter.docx", "A 16382-2020")</f>
        <v/>
      </c>
    </row>
    <row r="366" ht="15" customHeight="1">
      <c r="A366" t="inlineStr">
        <is>
          <t>A 19023-2020</t>
        </is>
      </c>
      <c r="B366" s="1" t="n">
        <v>43936</v>
      </c>
      <c r="C366" s="1" t="n">
        <v>45578</v>
      </c>
      <c r="D366" t="inlineStr">
        <is>
          <t>GÄVLEBORGS LÄN</t>
        </is>
      </c>
      <c r="E366" t="inlineStr">
        <is>
          <t>LJUSDAL</t>
        </is>
      </c>
      <c r="G366" t="n">
        <v>5.9</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19023-2020 artfynd.xlsx", "A 19023-2020")</f>
        <v/>
      </c>
      <c r="T366">
        <f>HYPERLINK("https://klasma.github.io/Logging_2161/kartor/A 19023-2020 karta.png", "A 19023-2020")</f>
        <v/>
      </c>
      <c r="V366">
        <f>HYPERLINK("https://klasma.github.io/Logging_2161/klagomål/A 19023-2020 FSC-klagomål.docx", "A 19023-2020")</f>
        <v/>
      </c>
      <c r="W366">
        <f>HYPERLINK("https://klasma.github.io/Logging_2161/klagomålsmail/A 19023-2020 FSC-klagomål mail.docx", "A 19023-2020")</f>
        <v/>
      </c>
      <c r="X366">
        <f>HYPERLINK("https://klasma.github.io/Logging_2161/tillsyn/A 19023-2020 tillsynsbegäran.docx", "A 19023-2020")</f>
        <v/>
      </c>
      <c r="Y366">
        <f>HYPERLINK("https://klasma.github.io/Logging_2161/tillsynsmail/A 19023-2020 tillsynsbegäran mail.docx", "A 19023-2020")</f>
        <v/>
      </c>
    </row>
    <row r="367" ht="15" customHeight="1">
      <c r="A367" t="inlineStr">
        <is>
          <t>A 19702-2020</t>
        </is>
      </c>
      <c r="B367" s="1" t="n">
        <v>43941</v>
      </c>
      <c r="C367" s="1" t="n">
        <v>45578</v>
      </c>
      <c r="D367" t="inlineStr">
        <is>
          <t>GÄVLEBORGS LÄN</t>
        </is>
      </c>
      <c r="E367" t="inlineStr">
        <is>
          <t>SÖDERHAMN</t>
        </is>
      </c>
      <c r="F367" t="inlineStr">
        <is>
          <t>Bergvik skog väst AB</t>
        </is>
      </c>
      <c r="G367" t="n">
        <v>4.9</v>
      </c>
      <c r="H367" t="n">
        <v>0</v>
      </c>
      <c r="I367" t="n">
        <v>0</v>
      </c>
      <c r="J367" t="n">
        <v>0</v>
      </c>
      <c r="K367" t="n">
        <v>0</v>
      </c>
      <c r="L367" t="n">
        <v>1</v>
      </c>
      <c r="M367" t="n">
        <v>0</v>
      </c>
      <c r="N367" t="n">
        <v>0</v>
      </c>
      <c r="O367" t="n">
        <v>1</v>
      </c>
      <c r="P367" t="n">
        <v>1</v>
      </c>
      <c r="Q367" t="n">
        <v>1</v>
      </c>
      <c r="R367" s="2" t="inlineStr">
        <is>
          <t>Ask</t>
        </is>
      </c>
      <c r="S367">
        <f>HYPERLINK("https://klasma.github.io/Logging_2182/artfynd/A 19702-2020 artfynd.xlsx", "A 19702-2020")</f>
        <v/>
      </c>
      <c r="T367">
        <f>HYPERLINK("https://klasma.github.io/Logging_2182/kartor/A 19702-2020 karta.png", "A 19702-2020")</f>
        <v/>
      </c>
      <c r="V367">
        <f>HYPERLINK("https://klasma.github.io/Logging_2182/klagomål/A 19702-2020 FSC-klagomål.docx", "A 19702-2020")</f>
        <v/>
      </c>
      <c r="W367">
        <f>HYPERLINK("https://klasma.github.io/Logging_2182/klagomålsmail/A 19702-2020 FSC-klagomål mail.docx", "A 19702-2020")</f>
        <v/>
      </c>
      <c r="X367">
        <f>HYPERLINK("https://klasma.github.io/Logging_2182/tillsyn/A 19702-2020 tillsynsbegäran.docx", "A 19702-2020")</f>
        <v/>
      </c>
      <c r="Y367">
        <f>HYPERLINK("https://klasma.github.io/Logging_2182/tillsynsmail/A 19702-2020 tillsynsbegäran mail.docx", "A 19702-2020")</f>
        <v/>
      </c>
    </row>
    <row r="368" ht="15" customHeight="1">
      <c r="A368" t="inlineStr">
        <is>
          <t>A 24130-2020</t>
        </is>
      </c>
      <c r="B368" s="1" t="n">
        <v>43973</v>
      </c>
      <c r="C368" s="1" t="n">
        <v>45578</v>
      </c>
      <c r="D368" t="inlineStr">
        <is>
          <t>GÄVLEBORGS LÄN</t>
        </is>
      </c>
      <c r="E368" t="inlineStr">
        <is>
          <t>NORDANSTIG</t>
        </is>
      </c>
      <c r="F368" t="inlineStr">
        <is>
          <t>Holmen skog AB</t>
        </is>
      </c>
      <c r="G368" t="n">
        <v>6.1</v>
      </c>
      <c r="H368" t="n">
        <v>1</v>
      </c>
      <c r="I368" t="n">
        <v>0</v>
      </c>
      <c r="J368" t="n">
        <v>1</v>
      </c>
      <c r="K368" t="n">
        <v>0</v>
      </c>
      <c r="L368" t="n">
        <v>0</v>
      </c>
      <c r="M368" t="n">
        <v>0</v>
      </c>
      <c r="N368" t="n">
        <v>0</v>
      </c>
      <c r="O368" t="n">
        <v>1</v>
      </c>
      <c r="P368" t="n">
        <v>0</v>
      </c>
      <c r="Q368" t="n">
        <v>1</v>
      </c>
      <c r="R368" s="2" t="inlineStr">
        <is>
          <t>Talltita</t>
        </is>
      </c>
      <c r="S368">
        <f>HYPERLINK("https://klasma.github.io/Logging_2132/artfynd/A 24130-2020 artfynd.xlsx", "A 24130-2020")</f>
        <v/>
      </c>
      <c r="T368">
        <f>HYPERLINK("https://klasma.github.io/Logging_2132/kartor/A 24130-2020 karta.png", "A 24130-2020")</f>
        <v/>
      </c>
      <c r="V368">
        <f>HYPERLINK("https://klasma.github.io/Logging_2132/klagomål/A 24130-2020 FSC-klagomål.docx", "A 24130-2020")</f>
        <v/>
      </c>
      <c r="W368">
        <f>HYPERLINK("https://klasma.github.io/Logging_2132/klagomålsmail/A 24130-2020 FSC-klagomål mail.docx", "A 24130-2020")</f>
        <v/>
      </c>
      <c r="X368">
        <f>HYPERLINK("https://klasma.github.io/Logging_2132/tillsyn/A 24130-2020 tillsynsbegäran.docx", "A 24130-2020")</f>
        <v/>
      </c>
      <c r="Y368">
        <f>HYPERLINK("https://klasma.github.io/Logging_2132/tillsynsmail/A 24130-2020 tillsynsbegäran mail.docx", "A 24130-2020")</f>
        <v/>
      </c>
      <c r="Z368">
        <f>HYPERLINK("https://klasma.github.io/Logging_2132/fåglar/A 24130-2020 prioriterade fågelarter.docx", "A 24130-2020")</f>
        <v/>
      </c>
    </row>
    <row r="369" ht="15" customHeight="1">
      <c r="A369" t="inlineStr">
        <is>
          <t>A 24126-2020</t>
        </is>
      </c>
      <c r="B369" s="1" t="n">
        <v>43973</v>
      </c>
      <c r="C369" s="1" t="n">
        <v>45578</v>
      </c>
      <c r="D369" t="inlineStr">
        <is>
          <t>GÄVLEBORGS LÄN</t>
        </is>
      </c>
      <c r="E369" t="inlineStr">
        <is>
          <t>NORDANSTIG</t>
        </is>
      </c>
      <c r="F369" t="inlineStr">
        <is>
          <t>Holmen skog AB</t>
        </is>
      </c>
      <c r="G369" t="n">
        <v>8</v>
      </c>
      <c r="H369" t="n">
        <v>0</v>
      </c>
      <c r="I369" t="n">
        <v>0</v>
      </c>
      <c r="J369" t="n">
        <v>1</v>
      </c>
      <c r="K369" t="n">
        <v>0</v>
      </c>
      <c r="L369" t="n">
        <v>0</v>
      </c>
      <c r="M369" t="n">
        <v>0</v>
      </c>
      <c r="N369" t="n">
        <v>0</v>
      </c>
      <c r="O369" t="n">
        <v>1</v>
      </c>
      <c r="P369" t="n">
        <v>0</v>
      </c>
      <c r="Q369" t="n">
        <v>1</v>
      </c>
      <c r="R369" s="2" t="inlineStr">
        <is>
          <t>Lunglav</t>
        </is>
      </c>
      <c r="S369">
        <f>HYPERLINK("https://klasma.github.io/Logging_2132/artfynd/A 24126-2020 artfynd.xlsx", "A 24126-2020")</f>
        <v/>
      </c>
      <c r="T369">
        <f>HYPERLINK("https://klasma.github.io/Logging_2132/kartor/A 24126-2020 karta.png", "A 24126-2020")</f>
        <v/>
      </c>
      <c r="V369">
        <f>HYPERLINK("https://klasma.github.io/Logging_2132/klagomål/A 24126-2020 FSC-klagomål.docx", "A 24126-2020")</f>
        <v/>
      </c>
      <c r="W369">
        <f>HYPERLINK("https://klasma.github.io/Logging_2132/klagomålsmail/A 24126-2020 FSC-klagomål mail.docx", "A 24126-2020")</f>
        <v/>
      </c>
      <c r="X369">
        <f>HYPERLINK("https://klasma.github.io/Logging_2132/tillsyn/A 24126-2020 tillsynsbegäran.docx", "A 24126-2020")</f>
        <v/>
      </c>
      <c r="Y369">
        <f>HYPERLINK("https://klasma.github.io/Logging_2132/tillsynsmail/A 24126-2020 tillsynsbegäran mail.docx", "A 24126-2020")</f>
        <v/>
      </c>
    </row>
    <row r="370" ht="15" customHeight="1">
      <c r="A370" t="inlineStr">
        <is>
          <t>A 25005-2020</t>
        </is>
      </c>
      <c r="B370" s="1" t="n">
        <v>43979</v>
      </c>
      <c r="C370" s="1" t="n">
        <v>45578</v>
      </c>
      <c r="D370" t="inlineStr">
        <is>
          <t>GÄVLEBORGS LÄN</t>
        </is>
      </c>
      <c r="E370" t="inlineStr">
        <is>
          <t>LJUSDAL</t>
        </is>
      </c>
      <c r="F370" t="inlineStr">
        <is>
          <t>Sveaskog</t>
        </is>
      </c>
      <c r="G370" t="n">
        <v>1.9</v>
      </c>
      <c r="H370" t="n">
        <v>0</v>
      </c>
      <c r="I370" t="n">
        <v>0</v>
      </c>
      <c r="J370" t="n">
        <v>1</v>
      </c>
      <c r="K370" t="n">
        <v>0</v>
      </c>
      <c r="L370" t="n">
        <v>0</v>
      </c>
      <c r="M370" t="n">
        <v>0</v>
      </c>
      <c r="N370" t="n">
        <v>0</v>
      </c>
      <c r="O370" t="n">
        <v>1</v>
      </c>
      <c r="P370" t="n">
        <v>0</v>
      </c>
      <c r="Q370" t="n">
        <v>1</v>
      </c>
      <c r="R370" s="2" t="inlineStr">
        <is>
          <t>Kolflarnlav</t>
        </is>
      </c>
      <c r="S370">
        <f>HYPERLINK("https://klasma.github.io/Logging_2161/artfynd/A 25005-2020 artfynd.xlsx", "A 25005-2020")</f>
        <v/>
      </c>
      <c r="T370">
        <f>HYPERLINK("https://klasma.github.io/Logging_2161/kartor/A 25005-2020 karta.png", "A 25005-2020")</f>
        <v/>
      </c>
      <c r="V370">
        <f>HYPERLINK("https://klasma.github.io/Logging_2161/klagomål/A 25005-2020 FSC-klagomål.docx", "A 25005-2020")</f>
        <v/>
      </c>
      <c r="W370">
        <f>HYPERLINK("https://klasma.github.io/Logging_2161/klagomålsmail/A 25005-2020 FSC-klagomål mail.docx", "A 25005-2020")</f>
        <v/>
      </c>
      <c r="X370">
        <f>HYPERLINK("https://klasma.github.io/Logging_2161/tillsyn/A 25005-2020 tillsynsbegäran.docx", "A 25005-2020")</f>
        <v/>
      </c>
      <c r="Y370">
        <f>HYPERLINK("https://klasma.github.io/Logging_2161/tillsynsmail/A 25005-2020 tillsynsbegäran mail.docx", "A 25005-2020")</f>
        <v/>
      </c>
    </row>
    <row r="371" ht="15" customHeight="1">
      <c r="A371" t="inlineStr">
        <is>
          <t>A 25565-2020</t>
        </is>
      </c>
      <c r="B371" s="1" t="n">
        <v>43983</v>
      </c>
      <c r="C371" s="1" t="n">
        <v>45578</v>
      </c>
      <c r="D371" t="inlineStr">
        <is>
          <t>GÄVLEBORGS LÄN</t>
        </is>
      </c>
      <c r="E371" t="inlineStr">
        <is>
          <t>OCKELBO</t>
        </is>
      </c>
      <c r="G371" t="n">
        <v>3.8</v>
      </c>
      <c r="H371" t="n">
        <v>1</v>
      </c>
      <c r="I371" t="n">
        <v>1</v>
      </c>
      <c r="J371" t="n">
        <v>0</v>
      </c>
      <c r="K371" t="n">
        <v>0</v>
      </c>
      <c r="L371" t="n">
        <v>0</v>
      </c>
      <c r="M371" t="n">
        <v>0</v>
      </c>
      <c r="N371" t="n">
        <v>0</v>
      </c>
      <c r="O371" t="n">
        <v>0</v>
      </c>
      <c r="P371" t="n">
        <v>0</v>
      </c>
      <c r="Q371" t="n">
        <v>1</v>
      </c>
      <c r="R371" s="2" t="inlineStr">
        <is>
          <t>Plattlummer</t>
        </is>
      </c>
      <c r="S371">
        <f>HYPERLINK("https://klasma.github.io/Logging_2101/artfynd/A 25565-2020 artfynd.xlsx", "A 25565-2020")</f>
        <v/>
      </c>
      <c r="T371">
        <f>HYPERLINK("https://klasma.github.io/Logging_2101/kartor/A 25565-2020 karta.png", "A 25565-2020")</f>
        <v/>
      </c>
      <c r="V371">
        <f>HYPERLINK("https://klasma.github.io/Logging_2101/klagomål/A 25565-2020 FSC-klagomål.docx", "A 25565-2020")</f>
        <v/>
      </c>
      <c r="W371">
        <f>HYPERLINK("https://klasma.github.io/Logging_2101/klagomålsmail/A 25565-2020 FSC-klagomål mail.docx", "A 25565-2020")</f>
        <v/>
      </c>
      <c r="X371">
        <f>HYPERLINK("https://klasma.github.io/Logging_2101/tillsyn/A 25565-2020 tillsynsbegäran.docx", "A 25565-2020")</f>
        <v/>
      </c>
      <c r="Y371">
        <f>HYPERLINK("https://klasma.github.io/Logging_2101/tillsynsmail/A 25565-2020 tillsynsbegäran mail.docx", "A 25565-2020")</f>
        <v/>
      </c>
    </row>
    <row r="372" ht="15" customHeight="1">
      <c r="A372" t="inlineStr">
        <is>
          <t>A 30137-2020</t>
        </is>
      </c>
      <c r="B372" s="1" t="n">
        <v>44007</v>
      </c>
      <c r="C372" s="1" t="n">
        <v>45578</v>
      </c>
      <c r="D372" t="inlineStr">
        <is>
          <t>GÄVLEBORGS LÄN</t>
        </is>
      </c>
      <c r="E372" t="inlineStr">
        <is>
          <t>HUDIKSVALL</t>
        </is>
      </c>
      <c r="G372" t="n">
        <v>1.1</v>
      </c>
      <c r="H372" t="n">
        <v>0</v>
      </c>
      <c r="I372" t="n">
        <v>0</v>
      </c>
      <c r="J372" t="n">
        <v>1</v>
      </c>
      <c r="K372" t="n">
        <v>0</v>
      </c>
      <c r="L372" t="n">
        <v>0</v>
      </c>
      <c r="M372" t="n">
        <v>0</v>
      </c>
      <c r="N372" t="n">
        <v>0</v>
      </c>
      <c r="O372" t="n">
        <v>1</v>
      </c>
      <c r="P372" t="n">
        <v>0</v>
      </c>
      <c r="Q372" t="n">
        <v>1</v>
      </c>
      <c r="R372" s="2" t="inlineStr">
        <is>
          <t>Rosenticka</t>
        </is>
      </c>
      <c r="S372">
        <f>HYPERLINK("https://klasma.github.io/Logging_2184/artfynd/A 30137-2020 artfynd.xlsx", "A 30137-2020")</f>
        <v/>
      </c>
      <c r="T372">
        <f>HYPERLINK("https://klasma.github.io/Logging_2184/kartor/A 30137-2020 karta.png", "A 30137-2020")</f>
        <v/>
      </c>
      <c r="V372">
        <f>HYPERLINK("https://klasma.github.io/Logging_2184/klagomål/A 30137-2020 FSC-klagomål.docx", "A 30137-2020")</f>
        <v/>
      </c>
      <c r="W372">
        <f>HYPERLINK("https://klasma.github.io/Logging_2184/klagomålsmail/A 30137-2020 FSC-klagomål mail.docx", "A 30137-2020")</f>
        <v/>
      </c>
      <c r="X372">
        <f>HYPERLINK("https://klasma.github.io/Logging_2184/tillsyn/A 30137-2020 tillsynsbegäran.docx", "A 30137-2020")</f>
        <v/>
      </c>
      <c r="Y372">
        <f>HYPERLINK("https://klasma.github.io/Logging_2184/tillsynsmail/A 30137-2020 tillsynsbegäran mail.docx", "A 30137-2020")</f>
        <v/>
      </c>
    </row>
    <row r="373" ht="15" customHeight="1">
      <c r="A373" t="inlineStr">
        <is>
          <t>A 30998-2020</t>
        </is>
      </c>
      <c r="B373" s="1" t="n">
        <v>44011</v>
      </c>
      <c r="C373" s="1" t="n">
        <v>45578</v>
      </c>
      <c r="D373" t="inlineStr">
        <is>
          <t>GÄVLEBORGS LÄN</t>
        </is>
      </c>
      <c r="E373" t="inlineStr">
        <is>
          <t>SANDVIKEN</t>
        </is>
      </c>
      <c r="G373" t="n">
        <v>2.3</v>
      </c>
      <c r="H373" t="n">
        <v>0</v>
      </c>
      <c r="I373" t="n">
        <v>1</v>
      </c>
      <c r="J373" t="n">
        <v>0</v>
      </c>
      <c r="K373" t="n">
        <v>0</v>
      </c>
      <c r="L373" t="n">
        <v>0</v>
      </c>
      <c r="M373" t="n">
        <v>0</v>
      </c>
      <c r="N373" t="n">
        <v>0</v>
      </c>
      <c r="O373" t="n">
        <v>0</v>
      </c>
      <c r="P373" t="n">
        <v>0</v>
      </c>
      <c r="Q373" t="n">
        <v>1</v>
      </c>
      <c r="R373" s="2" t="inlineStr">
        <is>
          <t>Ögonpyrola</t>
        </is>
      </c>
      <c r="S373">
        <f>HYPERLINK("https://klasma.github.io/Logging_2181/artfynd/A 30998-2020 artfynd.xlsx", "A 30998-2020")</f>
        <v/>
      </c>
      <c r="T373">
        <f>HYPERLINK("https://klasma.github.io/Logging_2181/kartor/A 30998-2020 karta.png", "A 30998-2020")</f>
        <v/>
      </c>
      <c r="V373">
        <f>HYPERLINK("https://klasma.github.io/Logging_2181/klagomål/A 30998-2020 FSC-klagomål.docx", "A 30998-2020")</f>
        <v/>
      </c>
      <c r="W373">
        <f>HYPERLINK("https://klasma.github.io/Logging_2181/klagomålsmail/A 30998-2020 FSC-klagomål mail.docx", "A 30998-2020")</f>
        <v/>
      </c>
      <c r="X373">
        <f>HYPERLINK("https://klasma.github.io/Logging_2181/tillsyn/A 30998-2020 tillsynsbegäran.docx", "A 30998-2020")</f>
        <v/>
      </c>
      <c r="Y373">
        <f>HYPERLINK("https://klasma.github.io/Logging_2181/tillsynsmail/A 30998-2020 tillsynsbegäran mail.docx", "A 30998-2020")</f>
        <v/>
      </c>
    </row>
    <row r="374" ht="15" customHeight="1">
      <c r="A374" t="inlineStr">
        <is>
          <t>A 32799-2020</t>
        </is>
      </c>
      <c r="B374" s="1" t="n">
        <v>44020</v>
      </c>
      <c r="C374" s="1" t="n">
        <v>45578</v>
      </c>
      <c r="D374" t="inlineStr">
        <is>
          <t>GÄVLEBORGS LÄN</t>
        </is>
      </c>
      <c r="E374" t="inlineStr">
        <is>
          <t>SANDVIKEN</t>
        </is>
      </c>
      <c r="F374" t="inlineStr">
        <is>
          <t>Bergvik skog öst AB</t>
        </is>
      </c>
      <c r="G374" t="n">
        <v>2.9</v>
      </c>
      <c r="H374" t="n">
        <v>0</v>
      </c>
      <c r="I374" t="n">
        <v>0</v>
      </c>
      <c r="J374" t="n">
        <v>1</v>
      </c>
      <c r="K374" t="n">
        <v>0</v>
      </c>
      <c r="L374" t="n">
        <v>0</v>
      </c>
      <c r="M374" t="n">
        <v>0</v>
      </c>
      <c r="N374" t="n">
        <v>0</v>
      </c>
      <c r="O374" t="n">
        <v>1</v>
      </c>
      <c r="P374" t="n">
        <v>0</v>
      </c>
      <c r="Q374" t="n">
        <v>1</v>
      </c>
      <c r="R374" s="2" t="inlineStr">
        <is>
          <t>Skogsklocka</t>
        </is>
      </c>
      <c r="S374">
        <f>HYPERLINK("https://klasma.github.io/Logging_2181/artfynd/A 32799-2020 artfynd.xlsx", "A 32799-2020")</f>
        <v/>
      </c>
      <c r="T374">
        <f>HYPERLINK("https://klasma.github.io/Logging_2181/kartor/A 32799-2020 karta.png", "A 32799-2020")</f>
        <v/>
      </c>
      <c r="V374">
        <f>HYPERLINK("https://klasma.github.io/Logging_2181/klagomål/A 32799-2020 FSC-klagomål.docx", "A 32799-2020")</f>
        <v/>
      </c>
      <c r="W374">
        <f>HYPERLINK("https://klasma.github.io/Logging_2181/klagomålsmail/A 32799-2020 FSC-klagomål mail.docx", "A 32799-2020")</f>
        <v/>
      </c>
      <c r="X374">
        <f>HYPERLINK("https://klasma.github.io/Logging_2181/tillsyn/A 32799-2020 tillsynsbegäran.docx", "A 32799-2020")</f>
        <v/>
      </c>
      <c r="Y374">
        <f>HYPERLINK("https://klasma.github.io/Logging_2181/tillsynsmail/A 32799-2020 tillsynsbegäran mail.docx", "A 32799-2020")</f>
        <v/>
      </c>
    </row>
    <row r="375" ht="15" customHeight="1">
      <c r="A375" t="inlineStr">
        <is>
          <t>A 35878-2020</t>
        </is>
      </c>
      <c r="B375" s="1" t="n">
        <v>44047</v>
      </c>
      <c r="C375" s="1" t="n">
        <v>45578</v>
      </c>
      <c r="D375" t="inlineStr">
        <is>
          <t>GÄVLEBORGS LÄN</t>
        </is>
      </c>
      <c r="E375" t="inlineStr">
        <is>
          <t>OCKELBO</t>
        </is>
      </c>
      <c r="G375" t="n">
        <v>2.5</v>
      </c>
      <c r="H375" t="n">
        <v>1</v>
      </c>
      <c r="I375" t="n">
        <v>0</v>
      </c>
      <c r="J375" t="n">
        <v>0</v>
      </c>
      <c r="K375" t="n">
        <v>1</v>
      </c>
      <c r="L375" t="n">
        <v>0</v>
      </c>
      <c r="M375" t="n">
        <v>0</v>
      </c>
      <c r="N375" t="n">
        <v>0</v>
      </c>
      <c r="O375" t="n">
        <v>1</v>
      </c>
      <c r="P375" t="n">
        <v>1</v>
      </c>
      <c r="Q375" t="n">
        <v>1</v>
      </c>
      <c r="R375" s="2" t="inlineStr">
        <is>
          <t>Knärot</t>
        </is>
      </c>
      <c r="S375">
        <f>HYPERLINK("https://klasma.github.io/Logging_2101/artfynd/A 35878-2020 artfynd.xlsx", "A 35878-2020")</f>
        <v/>
      </c>
      <c r="T375">
        <f>HYPERLINK("https://klasma.github.io/Logging_2101/kartor/A 35878-2020 karta.png", "A 35878-2020")</f>
        <v/>
      </c>
      <c r="U375">
        <f>HYPERLINK("https://klasma.github.io/Logging_2101/knärot/A 35878-2020 karta knärot.png", "A 35878-2020")</f>
        <v/>
      </c>
      <c r="V375">
        <f>HYPERLINK("https://klasma.github.io/Logging_2101/klagomål/A 35878-2020 FSC-klagomål.docx", "A 35878-2020")</f>
        <v/>
      </c>
      <c r="W375">
        <f>HYPERLINK("https://klasma.github.io/Logging_2101/klagomålsmail/A 35878-2020 FSC-klagomål mail.docx", "A 35878-2020")</f>
        <v/>
      </c>
      <c r="X375">
        <f>HYPERLINK("https://klasma.github.io/Logging_2101/tillsyn/A 35878-2020 tillsynsbegäran.docx", "A 35878-2020")</f>
        <v/>
      </c>
      <c r="Y375">
        <f>HYPERLINK("https://klasma.github.io/Logging_2101/tillsynsmail/A 35878-2020 tillsynsbegäran mail.docx", "A 35878-2020")</f>
        <v/>
      </c>
    </row>
    <row r="376" ht="15" customHeight="1">
      <c r="A376" t="inlineStr">
        <is>
          <t>A 38855-2020</t>
        </is>
      </c>
      <c r="B376" s="1" t="n">
        <v>44062</v>
      </c>
      <c r="C376" s="1" t="n">
        <v>45578</v>
      </c>
      <c r="D376" t="inlineStr">
        <is>
          <t>GÄVLEBORGS LÄN</t>
        </is>
      </c>
      <c r="E376" t="inlineStr">
        <is>
          <t>LJUSDAL</t>
        </is>
      </c>
      <c r="F376" t="inlineStr">
        <is>
          <t>Holmen skog AB</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HYPERLINK("https://klasma.github.io/Logging_2161/artfynd/A 38855-2020 artfynd.xlsx", "A 38855-2020")</f>
        <v/>
      </c>
      <c r="T376">
        <f>HYPERLINK("https://klasma.github.io/Logging_2161/kartor/A 38855-2020 karta.png", "A 38855-2020")</f>
        <v/>
      </c>
      <c r="U376">
        <f>HYPERLINK("https://klasma.github.io/Logging_2161/knärot/A 38855-2020 karta knärot.png", "A 38855-2020")</f>
        <v/>
      </c>
      <c r="V376">
        <f>HYPERLINK("https://klasma.github.io/Logging_2161/klagomål/A 38855-2020 FSC-klagomål.docx", "A 38855-2020")</f>
        <v/>
      </c>
      <c r="W376">
        <f>HYPERLINK("https://klasma.github.io/Logging_2161/klagomålsmail/A 38855-2020 FSC-klagomål mail.docx", "A 38855-2020")</f>
        <v/>
      </c>
      <c r="X376">
        <f>HYPERLINK("https://klasma.github.io/Logging_2161/tillsyn/A 38855-2020 tillsynsbegäran.docx", "A 38855-2020")</f>
        <v/>
      </c>
      <c r="Y376">
        <f>HYPERLINK("https://klasma.github.io/Logging_2161/tillsynsmail/A 38855-2020 tillsynsbegäran mail.docx", "A 38855-2020")</f>
        <v/>
      </c>
    </row>
    <row r="377" ht="15" customHeight="1">
      <c r="A377" t="inlineStr">
        <is>
          <t>A 40597-2020</t>
        </is>
      </c>
      <c r="B377" s="1" t="n">
        <v>44069</v>
      </c>
      <c r="C377" s="1" t="n">
        <v>45578</v>
      </c>
      <c r="D377" t="inlineStr">
        <is>
          <t>GÄVLEBORGS LÄN</t>
        </is>
      </c>
      <c r="E377" t="inlineStr">
        <is>
          <t>LJUSDAL</t>
        </is>
      </c>
      <c r="F377" t="inlineStr">
        <is>
          <t>Sveaskog</t>
        </is>
      </c>
      <c r="G377" t="n">
        <v>9.5</v>
      </c>
      <c r="H377" t="n">
        <v>0</v>
      </c>
      <c r="I377" t="n">
        <v>0</v>
      </c>
      <c r="J377" t="n">
        <v>1</v>
      </c>
      <c r="K377" t="n">
        <v>0</v>
      </c>
      <c r="L377" t="n">
        <v>0</v>
      </c>
      <c r="M377" t="n">
        <v>0</v>
      </c>
      <c r="N377" t="n">
        <v>0</v>
      </c>
      <c r="O377" t="n">
        <v>1</v>
      </c>
      <c r="P377" t="n">
        <v>0</v>
      </c>
      <c r="Q377" t="n">
        <v>1</v>
      </c>
      <c r="R377" s="2" t="inlineStr">
        <is>
          <t>Lunglav</t>
        </is>
      </c>
      <c r="S377">
        <f>HYPERLINK("https://klasma.github.io/Logging_2161/artfynd/A 40597-2020 artfynd.xlsx", "A 40597-2020")</f>
        <v/>
      </c>
      <c r="T377">
        <f>HYPERLINK("https://klasma.github.io/Logging_2161/kartor/A 40597-2020 karta.png", "A 40597-2020")</f>
        <v/>
      </c>
      <c r="V377">
        <f>HYPERLINK("https://klasma.github.io/Logging_2161/klagomål/A 40597-2020 FSC-klagomål.docx", "A 40597-2020")</f>
        <v/>
      </c>
      <c r="W377">
        <f>HYPERLINK("https://klasma.github.io/Logging_2161/klagomålsmail/A 40597-2020 FSC-klagomål mail.docx", "A 40597-2020")</f>
        <v/>
      </c>
      <c r="X377">
        <f>HYPERLINK("https://klasma.github.io/Logging_2161/tillsyn/A 40597-2020 tillsynsbegäran.docx", "A 40597-2020")</f>
        <v/>
      </c>
      <c r="Y377">
        <f>HYPERLINK("https://klasma.github.io/Logging_2161/tillsynsmail/A 40597-2020 tillsynsbegäran mail.docx", "A 40597-2020")</f>
        <v/>
      </c>
    </row>
    <row r="378" ht="15" customHeight="1">
      <c r="A378" t="inlineStr">
        <is>
          <t>A 43381-2020</t>
        </is>
      </c>
      <c r="B378" s="1" t="n">
        <v>44081</v>
      </c>
      <c r="C378" s="1" t="n">
        <v>45578</v>
      </c>
      <c r="D378" t="inlineStr">
        <is>
          <t>GÄVLEBORGS LÄN</t>
        </is>
      </c>
      <c r="E378" t="inlineStr">
        <is>
          <t>BOLLNÄS</t>
        </is>
      </c>
      <c r="F378" t="inlineStr">
        <is>
          <t>Sveaskog</t>
        </is>
      </c>
      <c r="G378" t="n">
        <v>3.3</v>
      </c>
      <c r="H378" t="n">
        <v>0</v>
      </c>
      <c r="I378" t="n">
        <v>0</v>
      </c>
      <c r="J378" t="n">
        <v>1</v>
      </c>
      <c r="K378" t="n">
        <v>0</v>
      </c>
      <c r="L378" t="n">
        <v>0</v>
      </c>
      <c r="M378" t="n">
        <v>0</v>
      </c>
      <c r="N378" t="n">
        <v>0</v>
      </c>
      <c r="O378" t="n">
        <v>1</v>
      </c>
      <c r="P378" t="n">
        <v>0</v>
      </c>
      <c r="Q378" t="n">
        <v>1</v>
      </c>
      <c r="R378" s="2" t="inlineStr">
        <is>
          <t>Tallticka</t>
        </is>
      </c>
      <c r="S378">
        <f>HYPERLINK("https://klasma.github.io/Logging_2183/artfynd/A 43381-2020 artfynd.xlsx", "A 43381-2020")</f>
        <v/>
      </c>
      <c r="T378">
        <f>HYPERLINK("https://klasma.github.io/Logging_2183/kartor/A 43381-2020 karta.png", "A 43381-2020")</f>
        <v/>
      </c>
      <c r="V378">
        <f>HYPERLINK("https://klasma.github.io/Logging_2183/klagomål/A 43381-2020 FSC-klagomål.docx", "A 43381-2020")</f>
        <v/>
      </c>
      <c r="W378">
        <f>HYPERLINK("https://klasma.github.io/Logging_2183/klagomålsmail/A 43381-2020 FSC-klagomål mail.docx", "A 43381-2020")</f>
        <v/>
      </c>
      <c r="X378">
        <f>HYPERLINK("https://klasma.github.io/Logging_2183/tillsyn/A 43381-2020 tillsynsbegäran.docx", "A 43381-2020")</f>
        <v/>
      </c>
      <c r="Y378">
        <f>HYPERLINK("https://klasma.github.io/Logging_2183/tillsynsmail/A 43381-2020 tillsynsbegäran mail.docx", "A 43381-2020")</f>
        <v/>
      </c>
    </row>
    <row r="379" ht="15" customHeight="1">
      <c r="A379" t="inlineStr">
        <is>
          <t>A 44963-2020</t>
        </is>
      </c>
      <c r="B379" s="1" t="n">
        <v>44088</v>
      </c>
      <c r="C379" s="1" t="n">
        <v>45578</v>
      </c>
      <c r="D379" t="inlineStr">
        <is>
          <t>GÄVLEBORGS LÄN</t>
        </is>
      </c>
      <c r="E379" t="inlineStr">
        <is>
          <t>HOFORS</t>
        </is>
      </c>
      <c r="G379" t="n">
        <v>3.1</v>
      </c>
      <c r="H379" t="n">
        <v>0</v>
      </c>
      <c r="I379" t="n">
        <v>0</v>
      </c>
      <c r="J379" t="n">
        <v>1</v>
      </c>
      <c r="K379" t="n">
        <v>0</v>
      </c>
      <c r="L379" t="n">
        <v>0</v>
      </c>
      <c r="M379" t="n">
        <v>0</v>
      </c>
      <c r="N379" t="n">
        <v>0</v>
      </c>
      <c r="O379" t="n">
        <v>1</v>
      </c>
      <c r="P379" t="n">
        <v>0</v>
      </c>
      <c r="Q379" t="n">
        <v>1</v>
      </c>
      <c r="R379" s="2" t="inlineStr">
        <is>
          <t>Slåtterfibbla</t>
        </is>
      </c>
      <c r="S379">
        <f>HYPERLINK("https://klasma.github.io/Logging_2104/artfynd/A 44963-2020 artfynd.xlsx", "A 44963-2020")</f>
        <v/>
      </c>
      <c r="T379">
        <f>HYPERLINK("https://klasma.github.io/Logging_2104/kartor/A 44963-2020 karta.png", "A 44963-2020")</f>
        <v/>
      </c>
      <c r="V379">
        <f>HYPERLINK("https://klasma.github.io/Logging_2104/klagomål/A 44963-2020 FSC-klagomål.docx", "A 44963-2020")</f>
        <v/>
      </c>
      <c r="W379">
        <f>HYPERLINK("https://klasma.github.io/Logging_2104/klagomålsmail/A 44963-2020 FSC-klagomål mail.docx", "A 44963-2020")</f>
        <v/>
      </c>
      <c r="X379">
        <f>HYPERLINK("https://klasma.github.io/Logging_2104/tillsyn/A 44963-2020 tillsynsbegäran.docx", "A 44963-2020")</f>
        <v/>
      </c>
      <c r="Y379">
        <f>HYPERLINK("https://klasma.github.io/Logging_2104/tillsynsmail/A 44963-2020 tillsynsbegäran mail.docx", "A 44963-2020")</f>
        <v/>
      </c>
    </row>
    <row r="380" ht="15" customHeight="1">
      <c r="A380" t="inlineStr">
        <is>
          <t>A 52294-2020</t>
        </is>
      </c>
      <c r="B380" s="1" t="n">
        <v>44117</v>
      </c>
      <c r="C380" s="1" t="n">
        <v>45578</v>
      </c>
      <c r="D380" t="inlineStr">
        <is>
          <t>GÄVLEBORGS LÄN</t>
        </is>
      </c>
      <c r="E380" t="inlineStr">
        <is>
          <t>LJUSDAL</t>
        </is>
      </c>
      <c r="F380" t="inlineStr">
        <is>
          <t>Sveaskog</t>
        </is>
      </c>
      <c r="G380" t="n">
        <v>8.4</v>
      </c>
      <c r="H380" t="n">
        <v>1</v>
      </c>
      <c r="I380" t="n">
        <v>0</v>
      </c>
      <c r="J380" t="n">
        <v>0</v>
      </c>
      <c r="K380" t="n">
        <v>1</v>
      </c>
      <c r="L380" t="n">
        <v>0</v>
      </c>
      <c r="M380" t="n">
        <v>0</v>
      </c>
      <c r="N380" t="n">
        <v>0</v>
      </c>
      <c r="O380" t="n">
        <v>1</v>
      </c>
      <c r="P380" t="n">
        <v>1</v>
      </c>
      <c r="Q380" t="n">
        <v>1</v>
      </c>
      <c r="R380" s="2" t="inlineStr">
        <is>
          <t>Knärot</t>
        </is>
      </c>
      <c r="S380">
        <f>HYPERLINK("https://klasma.github.io/Logging_2161/artfynd/A 52294-2020 artfynd.xlsx", "A 52294-2020")</f>
        <v/>
      </c>
      <c r="T380">
        <f>HYPERLINK("https://klasma.github.io/Logging_2161/kartor/A 52294-2020 karta.png", "A 52294-2020")</f>
        <v/>
      </c>
      <c r="U380">
        <f>HYPERLINK("https://klasma.github.io/Logging_2161/knärot/A 52294-2020 karta knärot.png", "A 52294-2020")</f>
        <v/>
      </c>
      <c r="V380">
        <f>HYPERLINK("https://klasma.github.io/Logging_2161/klagomål/A 52294-2020 FSC-klagomål.docx", "A 52294-2020")</f>
        <v/>
      </c>
      <c r="W380">
        <f>HYPERLINK("https://klasma.github.io/Logging_2161/klagomålsmail/A 52294-2020 FSC-klagomål mail.docx", "A 52294-2020")</f>
        <v/>
      </c>
      <c r="X380">
        <f>HYPERLINK("https://klasma.github.io/Logging_2161/tillsyn/A 52294-2020 tillsynsbegäran.docx", "A 52294-2020")</f>
        <v/>
      </c>
      <c r="Y380">
        <f>HYPERLINK("https://klasma.github.io/Logging_2161/tillsynsmail/A 52294-2020 tillsynsbegäran mail.docx", "A 52294-2020")</f>
        <v/>
      </c>
    </row>
    <row r="381" ht="15" customHeight="1">
      <c r="A381" t="inlineStr">
        <is>
          <t>A 56543-2020</t>
        </is>
      </c>
      <c r="B381" s="1" t="n">
        <v>44137</v>
      </c>
      <c r="C381" s="1" t="n">
        <v>45578</v>
      </c>
      <c r="D381" t="inlineStr">
        <is>
          <t>GÄVLEBORGS LÄN</t>
        </is>
      </c>
      <c r="E381" t="inlineStr">
        <is>
          <t>HUDIKSVALL</t>
        </is>
      </c>
      <c r="F381" t="inlineStr">
        <is>
          <t>Holmen skog AB</t>
        </is>
      </c>
      <c r="G381" t="n">
        <v>0.9</v>
      </c>
      <c r="H381" t="n">
        <v>0</v>
      </c>
      <c r="I381" t="n">
        <v>0</v>
      </c>
      <c r="J381" t="n">
        <v>1</v>
      </c>
      <c r="K381" t="n">
        <v>0</v>
      </c>
      <c r="L381" t="n">
        <v>0</v>
      </c>
      <c r="M381" t="n">
        <v>0</v>
      </c>
      <c r="N381" t="n">
        <v>0</v>
      </c>
      <c r="O381" t="n">
        <v>1</v>
      </c>
      <c r="P381" t="n">
        <v>0</v>
      </c>
      <c r="Q381" t="n">
        <v>1</v>
      </c>
      <c r="R381" s="2" t="inlineStr">
        <is>
          <t>Lunglav</t>
        </is>
      </c>
      <c r="S381">
        <f>HYPERLINK("https://klasma.github.io/Logging_2184/artfynd/A 56543-2020 artfynd.xlsx", "A 56543-2020")</f>
        <v/>
      </c>
      <c r="T381">
        <f>HYPERLINK("https://klasma.github.io/Logging_2184/kartor/A 56543-2020 karta.png", "A 56543-2020")</f>
        <v/>
      </c>
      <c r="V381">
        <f>HYPERLINK("https://klasma.github.io/Logging_2184/klagomål/A 56543-2020 FSC-klagomål.docx", "A 56543-2020")</f>
        <v/>
      </c>
      <c r="W381">
        <f>HYPERLINK("https://klasma.github.io/Logging_2184/klagomålsmail/A 56543-2020 FSC-klagomål mail.docx", "A 56543-2020")</f>
        <v/>
      </c>
      <c r="X381">
        <f>HYPERLINK("https://klasma.github.io/Logging_2184/tillsyn/A 56543-2020 tillsynsbegäran.docx", "A 56543-2020")</f>
        <v/>
      </c>
      <c r="Y381">
        <f>HYPERLINK("https://klasma.github.io/Logging_2184/tillsynsmail/A 56543-2020 tillsynsbegäran mail.docx", "A 56543-2020")</f>
        <v/>
      </c>
    </row>
    <row r="382" ht="15" customHeight="1">
      <c r="A382" t="inlineStr">
        <is>
          <t>A 58168-2020</t>
        </is>
      </c>
      <c r="B382" s="1" t="n">
        <v>44144</v>
      </c>
      <c r="C382" s="1" t="n">
        <v>45578</v>
      </c>
      <c r="D382" t="inlineStr">
        <is>
          <t>GÄVLEBORGS LÄN</t>
        </is>
      </c>
      <c r="E382" t="inlineStr">
        <is>
          <t>GÄVLE</t>
        </is>
      </c>
      <c r="F382" t="inlineStr">
        <is>
          <t>Bergvik skog öst AB</t>
        </is>
      </c>
      <c r="G382" t="n">
        <v>3.7</v>
      </c>
      <c r="H382" t="n">
        <v>1</v>
      </c>
      <c r="I382" t="n">
        <v>0</v>
      </c>
      <c r="J382" t="n">
        <v>0</v>
      </c>
      <c r="K382" t="n">
        <v>1</v>
      </c>
      <c r="L382" t="n">
        <v>0</v>
      </c>
      <c r="M382" t="n">
        <v>0</v>
      </c>
      <c r="N382" t="n">
        <v>0</v>
      </c>
      <c r="O382" t="n">
        <v>1</v>
      </c>
      <c r="P382" t="n">
        <v>1</v>
      </c>
      <c r="Q382" t="n">
        <v>1</v>
      </c>
      <c r="R382" s="2" t="inlineStr">
        <is>
          <t>Knärot</t>
        </is>
      </c>
      <c r="S382">
        <f>HYPERLINK("https://klasma.github.io/Logging_2180/artfynd/A 58168-2020 artfynd.xlsx", "A 58168-2020")</f>
        <v/>
      </c>
      <c r="T382">
        <f>HYPERLINK("https://klasma.github.io/Logging_2180/kartor/A 58168-2020 karta.png", "A 58168-2020")</f>
        <v/>
      </c>
      <c r="U382">
        <f>HYPERLINK("https://klasma.github.io/Logging_2180/knärot/A 58168-2020 karta knärot.png", "A 58168-2020")</f>
        <v/>
      </c>
      <c r="V382">
        <f>HYPERLINK("https://klasma.github.io/Logging_2180/klagomål/A 58168-2020 FSC-klagomål.docx", "A 58168-2020")</f>
        <v/>
      </c>
      <c r="W382">
        <f>HYPERLINK("https://klasma.github.io/Logging_2180/klagomålsmail/A 58168-2020 FSC-klagomål mail.docx", "A 58168-2020")</f>
        <v/>
      </c>
      <c r="X382">
        <f>HYPERLINK("https://klasma.github.io/Logging_2180/tillsyn/A 58168-2020 tillsynsbegäran.docx", "A 58168-2020")</f>
        <v/>
      </c>
      <c r="Y382">
        <f>HYPERLINK("https://klasma.github.io/Logging_2180/tillsynsmail/A 58168-2020 tillsynsbegäran mail.docx", "A 58168-2020")</f>
        <v/>
      </c>
    </row>
    <row r="383" ht="15" customHeight="1">
      <c r="A383" t="inlineStr">
        <is>
          <t>A 62316-2020</t>
        </is>
      </c>
      <c r="B383" s="1" t="n">
        <v>44160</v>
      </c>
      <c r="C383" s="1" t="n">
        <v>45578</v>
      </c>
      <c r="D383" t="inlineStr">
        <is>
          <t>GÄVLEBORGS LÄN</t>
        </is>
      </c>
      <c r="E383" t="inlineStr">
        <is>
          <t>GÄVLE</t>
        </is>
      </c>
      <c r="F383" t="inlineStr">
        <is>
          <t>Kommuner</t>
        </is>
      </c>
      <c r="G383" t="n">
        <v>2.5</v>
      </c>
      <c r="H383" t="n">
        <v>1</v>
      </c>
      <c r="I383" t="n">
        <v>0</v>
      </c>
      <c r="J383" t="n">
        <v>0</v>
      </c>
      <c r="K383" t="n">
        <v>0</v>
      </c>
      <c r="L383" t="n">
        <v>0</v>
      </c>
      <c r="M383" t="n">
        <v>0</v>
      </c>
      <c r="N383" t="n">
        <v>0</v>
      </c>
      <c r="O383" t="n">
        <v>0</v>
      </c>
      <c r="P383" t="n">
        <v>0</v>
      </c>
      <c r="Q383" t="n">
        <v>1</v>
      </c>
      <c r="R383" s="2" t="inlineStr">
        <is>
          <t>Blåsippa</t>
        </is>
      </c>
      <c r="S383">
        <f>HYPERLINK("https://klasma.github.io/Logging_2180/artfynd/A 62316-2020 artfynd.xlsx", "A 62316-2020")</f>
        <v/>
      </c>
      <c r="T383">
        <f>HYPERLINK("https://klasma.github.io/Logging_2180/kartor/A 62316-2020 karta.png", "A 62316-2020")</f>
        <v/>
      </c>
      <c r="V383">
        <f>HYPERLINK("https://klasma.github.io/Logging_2180/klagomål/A 62316-2020 FSC-klagomål.docx", "A 62316-2020")</f>
        <v/>
      </c>
      <c r="W383">
        <f>HYPERLINK("https://klasma.github.io/Logging_2180/klagomålsmail/A 62316-2020 FSC-klagomål mail.docx", "A 62316-2020")</f>
        <v/>
      </c>
      <c r="X383">
        <f>HYPERLINK("https://klasma.github.io/Logging_2180/tillsyn/A 62316-2020 tillsynsbegäran.docx", "A 62316-2020")</f>
        <v/>
      </c>
      <c r="Y383">
        <f>HYPERLINK("https://klasma.github.io/Logging_2180/tillsynsmail/A 62316-2020 tillsynsbegäran mail.docx", "A 62316-2020")</f>
        <v/>
      </c>
    </row>
    <row r="384" ht="15" customHeight="1">
      <c r="A384" t="inlineStr">
        <is>
          <t>A 65637-2020</t>
        </is>
      </c>
      <c r="B384" s="1" t="n">
        <v>44174</v>
      </c>
      <c r="C384" s="1" t="n">
        <v>45578</v>
      </c>
      <c r="D384" t="inlineStr">
        <is>
          <t>GÄVLEBORGS LÄN</t>
        </is>
      </c>
      <c r="E384" t="inlineStr">
        <is>
          <t>HUDIKSVALL</t>
        </is>
      </c>
      <c r="F384" t="inlineStr">
        <is>
          <t>Sveaskog</t>
        </is>
      </c>
      <c r="G384" t="n">
        <v>4.8</v>
      </c>
      <c r="H384" t="n">
        <v>0</v>
      </c>
      <c r="I384" t="n">
        <v>0</v>
      </c>
      <c r="J384" t="n">
        <v>0</v>
      </c>
      <c r="K384" t="n">
        <v>1</v>
      </c>
      <c r="L384" t="n">
        <v>0</v>
      </c>
      <c r="M384" t="n">
        <v>0</v>
      </c>
      <c r="N384" t="n">
        <v>0</v>
      </c>
      <c r="O384" t="n">
        <v>1</v>
      </c>
      <c r="P384" t="n">
        <v>1</v>
      </c>
      <c r="Q384" t="n">
        <v>1</v>
      </c>
      <c r="R384" s="2" t="inlineStr">
        <is>
          <t>Vippfibbla</t>
        </is>
      </c>
      <c r="S384">
        <f>HYPERLINK("https://klasma.github.io/Logging_2184/artfynd/A 65637-2020 artfynd.xlsx", "A 65637-2020")</f>
        <v/>
      </c>
      <c r="T384">
        <f>HYPERLINK("https://klasma.github.io/Logging_2184/kartor/A 65637-2020 karta.png", "A 65637-2020")</f>
        <v/>
      </c>
      <c r="V384">
        <f>HYPERLINK("https://klasma.github.io/Logging_2184/klagomål/A 65637-2020 FSC-klagomål.docx", "A 65637-2020")</f>
        <v/>
      </c>
      <c r="W384">
        <f>HYPERLINK("https://klasma.github.io/Logging_2184/klagomålsmail/A 65637-2020 FSC-klagomål mail.docx", "A 65637-2020")</f>
        <v/>
      </c>
      <c r="X384">
        <f>HYPERLINK("https://klasma.github.io/Logging_2184/tillsyn/A 65637-2020 tillsynsbegäran.docx", "A 65637-2020")</f>
        <v/>
      </c>
      <c r="Y384">
        <f>HYPERLINK("https://klasma.github.io/Logging_2184/tillsynsmail/A 65637-2020 tillsynsbegäran mail.docx", "A 65637-2020")</f>
        <v/>
      </c>
    </row>
    <row r="385" ht="15" customHeight="1">
      <c r="A385" t="inlineStr">
        <is>
          <t>A 13798-2021</t>
        </is>
      </c>
      <c r="B385" s="1" t="n">
        <v>44275</v>
      </c>
      <c r="C385" s="1" t="n">
        <v>45578</v>
      </c>
      <c r="D385" t="inlineStr">
        <is>
          <t>GÄVLEBORGS LÄN</t>
        </is>
      </c>
      <c r="E385" t="inlineStr">
        <is>
          <t>SÖDERHAMN</t>
        </is>
      </c>
      <c r="G385" t="n">
        <v>1.3</v>
      </c>
      <c r="H385" t="n">
        <v>0</v>
      </c>
      <c r="I385" t="n">
        <v>0</v>
      </c>
      <c r="J385" t="n">
        <v>0</v>
      </c>
      <c r="K385" t="n">
        <v>1</v>
      </c>
      <c r="L385" t="n">
        <v>0</v>
      </c>
      <c r="M385" t="n">
        <v>0</v>
      </c>
      <c r="N385" t="n">
        <v>0</v>
      </c>
      <c r="O385" t="n">
        <v>1</v>
      </c>
      <c r="P385" t="n">
        <v>1</v>
      </c>
      <c r="Q385" t="n">
        <v>1</v>
      </c>
      <c r="R385" s="2" t="inlineStr">
        <is>
          <t>Vågticka</t>
        </is>
      </c>
      <c r="S385">
        <f>HYPERLINK("https://klasma.github.io/Logging_2182/artfynd/A 13798-2021 artfynd.xlsx", "A 13798-2021")</f>
        <v/>
      </c>
      <c r="T385">
        <f>HYPERLINK("https://klasma.github.io/Logging_2182/kartor/A 13798-2021 karta.png", "A 13798-2021")</f>
        <v/>
      </c>
      <c r="V385">
        <f>HYPERLINK("https://klasma.github.io/Logging_2182/klagomål/A 13798-2021 FSC-klagomål.docx", "A 13798-2021")</f>
        <v/>
      </c>
      <c r="W385">
        <f>HYPERLINK("https://klasma.github.io/Logging_2182/klagomålsmail/A 13798-2021 FSC-klagomål mail.docx", "A 13798-2021")</f>
        <v/>
      </c>
      <c r="X385">
        <f>HYPERLINK("https://klasma.github.io/Logging_2182/tillsyn/A 13798-2021 tillsynsbegäran.docx", "A 13798-2021")</f>
        <v/>
      </c>
      <c r="Y385">
        <f>HYPERLINK("https://klasma.github.io/Logging_2182/tillsynsmail/A 13798-2021 tillsynsbegäran mail.docx", "A 13798-2021")</f>
        <v/>
      </c>
    </row>
    <row r="386" ht="15" customHeight="1">
      <c r="A386" t="inlineStr">
        <is>
          <t>A 14569-2021</t>
        </is>
      </c>
      <c r="B386" s="1" t="n">
        <v>44279</v>
      </c>
      <c r="C386" s="1" t="n">
        <v>45578</v>
      </c>
      <c r="D386" t="inlineStr">
        <is>
          <t>GÄVLEBORGS LÄN</t>
        </is>
      </c>
      <c r="E386" t="inlineStr">
        <is>
          <t>GÄVLE</t>
        </is>
      </c>
      <c r="F386" t="inlineStr">
        <is>
          <t>Bergvik skog öst AB</t>
        </is>
      </c>
      <c r="G386" t="n">
        <v>5.1</v>
      </c>
      <c r="H386" t="n">
        <v>0</v>
      </c>
      <c r="I386" t="n">
        <v>1</v>
      </c>
      <c r="J386" t="n">
        <v>0</v>
      </c>
      <c r="K386" t="n">
        <v>0</v>
      </c>
      <c r="L386" t="n">
        <v>0</v>
      </c>
      <c r="M386" t="n">
        <v>0</v>
      </c>
      <c r="N386" t="n">
        <v>0</v>
      </c>
      <c r="O386" t="n">
        <v>0</v>
      </c>
      <c r="P386" t="n">
        <v>0</v>
      </c>
      <c r="Q386" t="n">
        <v>1</v>
      </c>
      <c r="R386" s="2" t="inlineStr">
        <is>
          <t>Svavelriska</t>
        </is>
      </c>
      <c r="S386">
        <f>HYPERLINK("https://klasma.github.io/Logging_2180/artfynd/A 14569-2021 artfynd.xlsx", "A 14569-2021")</f>
        <v/>
      </c>
      <c r="T386">
        <f>HYPERLINK("https://klasma.github.io/Logging_2180/kartor/A 14569-2021 karta.png", "A 14569-2021")</f>
        <v/>
      </c>
      <c r="V386">
        <f>HYPERLINK("https://klasma.github.io/Logging_2180/klagomål/A 14569-2021 FSC-klagomål.docx", "A 14569-2021")</f>
        <v/>
      </c>
      <c r="W386">
        <f>HYPERLINK("https://klasma.github.io/Logging_2180/klagomålsmail/A 14569-2021 FSC-klagomål mail.docx", "A 14569-2021")</f>
        <v/>
      </c>
      <c r="X386">
        <f>HYPERLINK("https://klasma.github.io/Logging_2180/tillsyn/A 14569-2021 tillsynsbegäran.docx", "A 14569-2021")</f>
        <v/>
      </c>
      <c r="Y386">
        <f>HYPERLINK("https://klasma.github.io/Logging_2180/tillsynsmail/A 14569-2021 tillsynsbegäran mail.docx", "A 14569-2021")</f>
        <v/>
      </c>
    </row>
    <row r="387" ht="15" customHeight="1">
      <c r="A387" t="inlineStr">
        <is>
          <t>A 22096-2021</t>
        </is>
      </c>
      <c r="B387" s="1" t="n">
        <v>44323</v>
      </c>
      <c r="C387" s="1" t="n">
        <v>45578</v>
      </c>
      <c r="D387" t="inlineStr">
        <is>
          <t>GÄVLEBORGS LÄN</t>
        </is>
      </c>
      <c r="E387" t="inlineStr">
        <is>
          <t>HOFORS</t>
        </is>
      </c>
      <c r="F387" t="inlineStr">
        <is>
          <t>Sveaskog</t>
        </is>
      </c>
      <c r="G387" t="n">
        <v>1.7</v>
      </c>
      <c r="H387" t="n">
        <v>1</v>
      </c>
      <c r="I387" t="n">
        <v>0</v>
      </c>
      <c r="J387" t="n">
        <v>0</v>
      </c>
      <c r="K387" t="n">
        <v>1</v>
      </c>
      <c r="L387" t="n">
        <v>0</v>
      </c>
      <c r="M387" t="n">
        <v>0</v>
      </c>
      <c r="N387" t="n">
        <v>0</v>
      </c>
      <c r="O387" t="n">
        <v>1</v>
      </c>
      <c r="P387" t="n">
        <v>1</v>
      </c>
      <c r="Q387" t="n">
        <v>1</v>
      </c>
      <c r="R387" s="2" t="inlineStr">
        <is>
          <t>Knärot</t>
        </is>
      </c>
      <c r="S387">
        <f>HYPERLINK("https://klasma.github.io/Logging_2104/artfynd/A 22096-2021 artfynd.xlsx", "A 22096-2021")</f>
        <v/>
      </c>
      <c r="T387">
        <f>HYPERLINK("https://klasma.github.io/Logging_2104/kartor/A 22096-2021 karta.png", "A 22096-2021")</f>
        <v/>
      </c>
      <c r="U387">
        <f>HYPERLINK("https://klasma.github.io/Logging_2104/knärot/A 22096-2021 karta knärot.png", "A 22096-2021")</f>
        <v/>
      </c>
      <c r="V387">
        <f>HYPERLINK("https://klasma.github.io/Logging_2104/klagomål/A 22096-2021 FSC-klagomål.docx", "A 22096-2021")</f>
        <v/>
      </c>
      <c r="W387">
        <f>HYPERLINK("https://klasma.github.io/Logging_2104/klagomålsmail/A 22096-2021 FSC-klagomål mail.docx", "A 22096-2021")</f>
        <v/>
      </c>
      <c r="X387">
        <f>HYPERLINK("https://klasma.github.io/Logging_2104/tillsyn/A 22096-2021 tillsynsbegäran.docx", "A 22096-2021")</f>
        <v/>
      </c>
      <c r="Y387">
        <f>HYPERLINK("https://klasma.github.io/Logging_2104/tillsynsmail/A 22096-2021 tillsynsbegäran mail.docx", "A 22096-2021")</f>
        <v/>
      </c>
    </row>
    <row r="388" ht="15" customHeight="1">
      <c r="A388" t="inlineStr">
        <is>
          <t>A 25490-2021</t>
        </is>
      </c>
      <c r="B388" s="1" t="n">
        <v>44342</v>
      </c>
      <c r="C388" s="1" t="n">
        <v>45578</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29691-2021</t>
        </is>
      </c>
      <c r="B389" s="1" t="n">
        <v>44362</v>
      </c>
      <c r="C389" s="1" t="n">
        <v>45578</v>
      </c>
      <c r="D389" t="inlineStr">
        <is>
          <t>GÄVLEBORGS LÄN</t>
        </is>
      </c>
      <c r="E389" t="inlineStr">
        <is>
          <t>HUDIKSVALL</t>
        </is>
      </c>
      <c r="G389" t="n">
        <v>1.3</v>
      </c>
      <c r="H389" t="n">
        <v>0</v>
      </c>
      <c r="I389" t="n">
        <v>0</v>
      </c>
      <c r="J389" t="n">
        <v>0</v>
      </c>
      <c r="K389" t="n">
        <v>1</v>
      </c>
      <c r="L389" t="n">
        <v>0</v>
      </c>
      <c r="M389" t="n">
        <v>0</v>
      </c>
      <c r="N389" t="n">
        <v>0</v>
      </c>
      <c r="O389" t="n">
        <v>1</v>
      </c>
      <c r="P389" t="n">
        <v>1</v>
      </c>
      <c r="Q389" t="n">
        <v>1</v>
      </c>
      <c r="R389" s="2" t="inlineStr">
        <is>
          <t>Tallgråticka</t>
        </is>
      </c>
      <c r="S389">
        <f>HYPERLINK("https://klasma.github.io/Logging_2184/artfynd/A 29691-2021 artfynd.xlsx", "A 29691-2021")</f>
        <v/>
      </c>
      <c r="T389">
        <f>HYPERLINK("https://klasma.github.io/Logging_2184/kartor/A 29691-2021 karta.png", "A 29691-2021")</f>
        <v/>
      </c>
      <c r="V389">
        <f>HYPERLINK("https://klasma.github.io/Logging_2184/klagomål/A 29691-2021 FSC-klagomål.docx", "A 29691-2021")</f>
        <v/>
      </c>
      <c r="W389">
        <f>HYPERLINK("https://klasma.github.io/Logging_2184/klagomålsmail/A 29691-2021 FSC-klagomål mail.docx", "A 29691-2021")</f>
        <v/>
      </c>
      <c r="X389">
        <f>HYPERLINK("https://klasma.github.io/Logging_2184/tillsyn/A 29691-2021 tillsynsbegäran.docx", "A 29691-2021")</f>
        <v/>
      </c>
      <c r="Y389">
        <f>HYPERLINK("https://klasma.github.io/Logging_2184/tillsynsmail/A 29691-2021 tillsynsbegäran mail.docx", "A 29691-2021")</f>
        <v/>
      </c>
    </row>
    <row r="390" ht="15" customHeight="1">
      <c r="A390" t="inlineStr">
        <is>
          <t>A 29855-2021</t>
        </is>
      </c>
      <c r="B390" s="1" t="n">
        <v>44362</v>
      </c>
      <c r="C390" s="1" t="n">
        <v>45578</v>
      </c>
      <c r="D390" t="inlineStr">
        <is>
          <t>GÄVLEBORGS LÄN</t>
        </is>
      </c>
      <c r="E390" t="inlineStr">
        <is>
          <t>OVANÅKER</t>
        </is>
      </c>
      <c r="F390" t="inlineStr">
        <is>
          <t>Sveaskog</t>
        </is>
      </c>
      <c r="G390" t="n">
        <v>5.5</v>
      </c>
      <c r="H390" t="n">
        <v>0</v>
      </c>
      <c r="I390" t="n">
        <v>0</v>
      </c>
      <c r="J390" t="n">
        <v>1</v>
      </c>
      <c r="K390" t="n">
        <v>0</v>
      </c>
      <c r="L390" t="n">
        <v>0</v>
      </c>
      <c r="M390" t="n">
        <v>0</v>
      </c>
      <c r="N390" t="n">
        <v>0</v>
      </c>
      <c r="O390" t="n">
        <v>1</v>
      </c>
      <c r="P390" t="n">
        <v>0</v>
      </c>
      <c r="Q390" t="n">
        <v>1</v>
      </c>
      <c r="R390" s="2" t="inlineStr">
        <is>
          <t>Lunglav</t>
        </is>
      </c>
      <c r="S390">
        <f>HYPERLINK("https://klasma.github.io/Logging_2121/artfynd/A 29855-2021 artfynd.xlsx", "A 29855-2021")</f>
        <v/>
      </c>
      <c r="T390">
        <f>HYPERLINK("https://klasma.github.io/Logging_2121/kartor/A 29855-2021 karta.png", "A 29855-2021")</f>
        <v/>
      </c>
      <c r="V390">
        <f>HYPERLINK("https://klasma.github.io/Logging_2121/klagomål/A 29855-2021 FSC-klagomål.docx", "A 29855-2021")</f>
        <v/>
      </c>
      <c r="W390">
        <f>HYPERLINK("https://klasma.github.io/Logging_2121/klagomålsmail/A 29855-2021 FSC-klagomål mail.docx", "A 29855-2021")</f>
        <v/>
      </c>
      <c r="X390">
        <f>HYPERLINK("https://klasma.github.io/Logging_2121/tillsyn/A 29855-2021 tillsynsbegäran.docx", "A 29855-2021")</f>
        <v/>
      </c>
      <c r="Y390">
        <f>HYPERLINK("https://klasma.github.io/Logging_2121/tillsynsmail/A 29855-2021 tillsynsbegäran mail.docx", "A 29855-2021")</f>
        <v/>
      </c>
    </row>
    <row r="391" ht="15" customHeight="1">
      <c r="A391" t="inlineStr">
        <is>
          <t>A 29873-2021</t>
        </is>
      </c>
      <c r="B391" s="1" t="n">
        <v>44362</v>
      </c>
      <c r="C391" s="1" t="n">
        <v>45578</v>
      </c>
      <c r="D391" t="inlineStr">
        <is>
          <t>GÄVLEBORGS LÄN</t>
        </is>
      </c>
      <c r="E391" t="inlineStr">
        <is>
          <t>OVANÅKER</t>
        </is>
      </c>
      <c r="F391" t="inlineStr">
        <is>
          <t>Sveaskog</t>
        </is>
      </c>
      <c r="G391" t="n">
        <v>9.199999999999999</v>
      </c>
      <c r="H391" t="n">
        <v>0</v>
      </c>
      <c r="I391" t="n">
        <v>0</v>
      </c>
      <c r="J391" t="n">
        <v>1</v>
      </c>
      <c r="K391" t="n">
        <v>0</v>
      </c>
      <c r="L391" t="n">
        <v>0</v>
      </c>
      <c r="M391" t="n">
        <v>0</v>
      </c>
      <c r="N391" t="n">
        <v>0</v>
      </c>
      <c r="O391" t="n">
        <v>1</v>
      </c>
      <c r="P391" t="n">
        <v>0</v>
      </c>
      <c r="Q391" t="n">
        <v>1</v>
      </c>
      <c r="R391" s="2" t="inlineStr">
        <is>
          <t>Lunglav</t>
        </is>
      </c>
      <c r="S391">
        <f>HYPERLINK("https://klasma.github.io/Logging_2121/artfynd/A 29873-2021 artfynd.xlsx", "A 29873-2021")</f>
        <v/>
      </c>
      <c r="T391">
        <f>HYPERLINK("https://klasma.github.io/Logging_2121/kartor/A 29873-2021 karta.png", "A 29873-2021")</f>
        <v/>
      </c>
      <c r="V391">
        <f>HYPERLINK("https://klasma.github.io/Logging_2121/klagomål/A 29873-2021 FSC-klagomål.docx", "A 29873-2021")</f>
        <v/>
      </c>
      <c r="W391">
        <f>HYPERLINK("https://klasma.github.io/Logging_2121/klagomålsmail/A 29873-2021 FSC-klagomål mail.docx", "A 29873-2021")</f>
        <v/>
      </c>
      <c r="X391">
        <f>HYPERLINK("https://klasma.github.io/Logging_2121/tillsyn/A 29873-2021 tillsynsbegäran.docx", "A 29873-2021")</f>
        <v/>
      </c>
      <c r="Y391">
        <f>HYPERLINK("https://klasma.github.io/Logging_2121/tillsynsmail/A 29873-2021 tillsynsbegäran mail.docx", "A 29873-2021")</f>
        <v/>
      </c>
    </row>
    <row r="392" ht="15" customHeight="1">
      <c r="A392" t="inlineStr">
        <is>
          <t>A 30954-2021</t>
        </is>
      </c>
      <c r="B392" s="1" t="n">
        <v>44365</v>
      </c>
      <c r="C392" s="1" t="n">
        <v>45578</v>
      </c>
      <c r="D392" t="inlineStr">
        <is>
          <t>GÄVLEBORGS LÄN</t>
        </is>
      </c>
      <c r="E392" t="inlineStr">
        <is>
          <t>OVANÅKER</t>
        </is>
      </c>
      <c r="F392" t="inlineStr">
        <is>
          <t>Sveaskog</t>
        </is>
      </c>
      <c r="G392" t="n">
        <v>2.7</v>
      </c>
      <c r="H392" t="n">
        <v>0</v>
      </c>
      <c r="I392" t="n">
        <v>1</v>
      </c>
      <c r="J392" t="n">
        <v>0</v>
      </c>
      <c r="K392" t="n">
        <v>0</v>
      </c>
      <c r="L392" t="n">
        <v>0</v>
      </c>
      <c r="M392" t="n">
        <v>0</v>
      </c>
      <c r="N392" t="n">
        <v>0</v>
      </c>
      <c r="O392" t="n">
        <v>0</v>
      </c>
      <c r="P392" t="n">
        <v>0</v>
      </c>
      <c r="Q392" t="n">
        <v>1</v>
      </c>
      <c r="R392" s="2" t="inlineStr">
        <is>
          <t>Dropptaggsvamp</t>
        </is>
      </c>
      <c r="S392">
        <f>HYPERLINK("https://klasma.github.io/Logging_2121/artfynd/A 30954-2021 artfynd.xlsx", "A 30954-2021")</f>
        <v/>
      </c>
      <c r="T392">
        <f>HYPERLINK("https://klasma.github.io/Logging_2121/kartor/A 30954-2021 karta.png", "A 30954-2021")</f>
        <v/>
      </c>
      <c r="V392">
        <f>HYPERLINK("https://klasma.github.io/Logging_2121/klagomål/A 30954-2021 FSC-klagomål.docx", "A 30954-2021")</f>
        <v/>
      </c>
      <c r="W392">
        <f>HYPERLINK("https://klasma.github.io/Logging_2121/klagomålsmail/A 30954-2021 FSC-klagomål mail.docx", "A 30954-2021")</f>
        <v/>
      </c>
      <c r="X392">
        <f>HYPERLINK("https://klasma.github.io/Logging_2121/tillsyn/A 30954-2021 tillsynsbegäran.docx", "A 30954-2021")</f>
        <v/>
      </c>
      <c r="Y392">
        <f>HYPERLINK("https://klasma.github.io/Logging_2121/tillsynsmail/A 30954-2021 tillsynsbegäran mail.docx", "A 30954-2021")</f>
        <v/>
      </c>
    </row>
    <row r="393" ht="15" customHeight="1">
      <c r="A393" t="inlineStr">
        <is>
          <t>A 32817-2021</t>
        </is>
      </c>
      <c r="B393" s="1" t="n">
        <v>44375</v>
      </c>
      <c r="C393" s="1" t="n">
        <v>45578</v>
      </c>
      <c r="D393" t="inlineStr">
        <is>
          <t>GÄVLEBORGS LÄN</t>
        </is>
      </c>
      <c r="E393" t="inlineStr">
        <is>
          <t>HUDIKSVALL</t>
        </is>
      </c>
      <c r="F393" t="inlineStr">
        <is>
          <t>Holmen skog AB</t>
        </is>
      </c>
      <c r="G393" t="n">
        <v>2.3</v>
      </c>
      <c r="H393" t="n">
        <v>0</v>
      </c>
      <c r="I393" t="n">
        <v>1</v>
      </c>
      <c r="J393" t="n">
        <v>0</v>
      </c>
      <c r="K393" t="n">
        <v>0</v>
      </c>
      <c r="L393" t="n">
        <v>0</v>
      </c>
      <c r="M393" t="n">
        <v>0</v>
      </c>
      <c r="N393" t="n">
        <v>0</v>
      </c>
      <c r="O393" t="n">
        <v>0</v>
      </c>
      <c r="P393" t="n">
        <v>0</v>
      </c>
      <c r="Q393" t="n">
        <v>1</v>
      </c>
      <c r="R393" s="2" t="inlineStr">
        <is>
          <t>Bollvitmossa</t>
        </is>
      </c>
      <c r="S393">
        <f>HYPERLINK("https://klasma.github.io/Logging_2184/artfynd/A 32817-2021 artfynd.xlsx", "A 32817-2021")</f>
        <v/>
      </c>
      <c r="T393">
        <f>HYPERLINK("https://klasma.github.io/Logging_2184/kartor/A 32817-2021 karta.png", "A 32817-2021")</f>
        <v/>
      </c>
      <c r="V393">
        <f>HYPERLINK("https://klasma.github.io/Logging_2184/klagomål/A 32817-2021 FSC-klagomål.docx", "A 32817-2021")</f>
        <v/>
      </c>
      <c r="W393">
        <f>HYPERLINK("https://klasma.github.io/Logging_2184/klagomålsmail/A 32817-2021 FSC-klagomål mail.docx", "A 32817-2021")</f>
        <v/>
      </c>
      <c r="X393">
        <f>HYPERLINK("https://klasma.github.io/Logging_2184/tillsyn/A 32817-2021 tillsynsbegäran.docx", "A 32817-2021")</f>
        <v/>
      </c>
      <c r="Y393">
        <f>HYPERLINK("https://klasma.github.io/Logging_2184/tillsynsmail/A 32817-2021 tillsynsbegäran mail.docx", "A 32817-2021")</f>
        <v/>
      </c>
    </row>
    <row r="394" ht="15" customHeight="1">
      <c r="A394" t="inlineStr">
        <is>
          <t>A 34219-2021</t>
        </is>
      </c>
      <c r="B394" s="1" t="n">
        <v>44379</v>
      </c>
      <c r="C394" s="1" t="n">
        <v>45578</v>
      </c>
      <c r="D394" t="inlineStr">
        <is>
          <t>GÄVLEBORGS LÄN</t>
        </is>
      </c>
      <c r="E394" t="inlineStr">
        <is>
          <t>OVANÅKER</t>
        </is>
      </c>
      <c r="F394" t="inlineStr">
        <is>
          <t>Kyrkan</t>
        </is>
      </c>
      <c r="G394" t="n">
        <v>24.7</v>
      </c>
      <c r="H394" t="n">
        <v>1</v>
      </c>
      <c r="I394" t="n">
        <v>0</v>
      </c>
      <c r="J394" t="n">
        <v>1</v>
      </c>
      <c r="K394" t="n">
        <v>0</v>
      </c>
      <c r="L394" t="n">
        <v>0</v>
      </c>
      <c r="M394" t="n">
        <v>0</v>
      </c>
      <c r="N394" t="n">
        <v>0</v>
      </c>
      <c r="O394" t="n">
        <v>1</v>
      </c>
      <c r="P394" t="n">
        <v>0</v>
      </c>
      <c r="Q394" t="n">
        <v>1</v>
      </c>
      <c r="R394" s="2" t="inlineStr">
        <is>
          <t>Svartvit flugsnappare</t>
        </is>
      </c>
      <c r="S394">
        <f>HYPERLINK("https://klasma.github.io/Logging_2121/artfynd/A 34219-2021 artfynd.xlsx", "A 34219-2021")</f>
        <v/>
      </c>
      <c r="T394">
        <f>HYPERLINK("https://klasma.github.io/Logging_2121/kartor/A 34219-2021 karta.png", "A 34219-2021")</f>
        <v/>
      </c>
      <c r="V394">
        <f>HYPERLINK("https://klasma.github.io/Logging_2121/klagomål/A 34219-2021 FSC-klagomål.docx", "A 34219-2021")</f>
        <v/>
      </c>
      <c r="W394">
        <f>HYPERLINK("https://klasma.github.io/Logging_2121/klagomålsmail/A 34219-2021 FSC-klagomål mail.docx", "A 34219-2021")</f>
        <v/>
      </c>
      <c r="X394">
        <f>HYPERLINK("https://klasma.github.io/Logging_2121/tillsyn/A 34219-2021 tillsynsbegäran.docx", "A 34219-2021")</f>
        <v/>
      </c>
      <c r="Y394">
        <f>HYPERLINK("https://klasma.github.io/Logging_2121/tillsynsmail/A 34219-2021 tillsynsbegäran mail.docx", "A 34219-2021")</f>
        <v/>
      </c>
      <c r="Z394">
        <f>HYPERLINK("https://klasma.github.io/Logging_2121/fåglar/A 34219-2021 prioriterade fågelarter.docx", "A 34219-2021")</f>
        <v/>
      </c>
    </row>
    <row r="395" ht="15" customHeight="1">
      <c r="A395" t="inlineStr">
        <is>
          <t>A 34192-2021</t>
        </is>
      </c>
      <c r="B395" s="1" t="n">
        <v>44379</v>
      </c>
      <c r="C395" s="1" t="n">
        <v>45578</v>
      </c>
      <c r="D395" t="inlineStr">
        <is>
          <t>GÄVLEBORGS LÄN</t>
        </is>
      </c>
      <c r="E395" t="inlineStr">
        <is>
          <t>LJUSDAL</t>
        </is>
      </c>
      <c r="F395" t="inlineStr">
        <is>
          <t>Sveaskog</t>
        </is>
      </c>
      <c r="G395" t="n">
        <v>14.6</v>
      </c>
      <c r="H395" t="n">
        <v>1</v>
      </c>
      <c r="I395" t="n">
        <v>0</v>
      </c>
      <c r="J395" t="n">
        <v>0</v>
      </c>
      <c r="K395" t="n">
        <v>0</v>
      </c>
      <c r="L395" t="n">
        <v>0</v>
      </c>
      <c r="M395" t="n">
        <v>0</v>
      </c>
      <c r="N395" t="n">
        <v>0</v>
      </c>
      <c r="O395" t="n">
        <v>0</v>
      </c>
      <c r="P395" t="n">
        <v>0</v>
      </c>
      <c r="Q395" t="n">
        <v>1</v>
      </c>
      <c r="R395" s="2" t="inlineStr">
        <is>
          <t>Mattlummer</t>
        </is>
      </c>
      <c r="S395">
        <f>HYPERLINK("https://klasma.github.io/Logging_2161/artfynd/A 34192-2021 artfynd.xlsx", "A 34192-2021")</f>
        <v/>
      </c>
      <c r="T395">
        <f>HYPERLINK("https://klasma.github.io/Logging_2161/kartor/A 34192-2021 karta.png", "A 34192-2021")</f>
        <v/>
      </c>
      <c r="V395">
        <f>HYPERLINK("https://klasma.github.io/Logging_2161/klagomål/A 34192-2021 FSC-klagomål.docx", "A 34192-2021")</f>
        <v/>
      </c>
      <c r="W395">
        <f>HYPERLINK("https://klasma.github.io/Logging_2161/klagomålsmail/A 34192-2021 FSC-klagomål mail.docx", "A 34192-2021")</f>
        <v/>
      </c>
      <c r="X395">
        <f>HYPERLINK("https://klasma.github.io/Logging_2161/tillsyn/A 34192-2021 tillsynsbegäran.docx", "A 34192-2021")</f>
        <v/>
      </c>
      <c r="Y395">
        <f>HYPERLINK("https://klasma.github.io/Logging_2161/tillsynsmail/A 34192-2021 tillsynsbegäran mail.docx", "A 34192-2021")</f>
        <v/>
      </c>
    </row>
    <row r="396" ht="15" customHeight="1">
      <c r="A396" t="inlineStr">
        <is>
          <t>A 38115-2021</t>
        </is>
      </c>
      <c r="B396" s="1" t="n">
        <v>44405</v>
      </c>
      <c r="C396" s="1" t="n">
        <v>45578</v>
      </c>
      <c r="D396" t="inlineStr">
        <is>
          <t>GÄVLEBORGS LÄN</t>
        </is>
      </c>
      <c r="E396" t="inlineStr">
        <is>
          <t>LJUSDAL</t>
        </is>
      </c>
      <c r="F396" t="inlineStr">
        <is>
          <t>Sveaskog</t>
        </is>
      </c>
      <c r="G396" t="n">
        <v>2.7</v>
      </c>
      <c r="H396" t="n">
        <v>1</v>
      </c>
      <c r="I396" t="n">
        <v>0</v>
      </c>
      <c r="J396" t="n">
        <v>0</v>
      </c>
      <c r="K396" t="n">
        <v>1</v>
      </c>
      <c r="L396" t="n">
        <v>0</v>
      </c>
      <c r="M396" t="n">
        <v>0</v>
      </c>
      <c r="N396" t="n">
        <v>0</v>
      </c>
      <c r="O396" t="n">
        <v>1</v>
      </c>
      <c r="P396" t="n">
        <v>1</v>
      </c>
      <c r="Q396" t="n">
        <v>1</v>
      </c>
      <c r="R396" s="2" t="inlineStr">
        <is>
          <t>Knärot</t>
        </is>
      </c>
      <c r="S396">
        <f>HYPERLINK("https://klasma.github.io/Logging_2161/artfynd/A 38115-2021 artfynd.xlsx", "A 38115-2021")</f>
        <v/>
      </c>
      <c r="T396">
        <f>HYPERLINK("https://klasma.github.io/Logging_2161/kartor/A 38115-2021 karta.png", "A 38115-2021")</f>
        <v/>
      </c>
      <c r="U396">
        <f>HYPERLINK("https://klasma.github.io/Logging_2161/knärot/A 38115-2021 karta knärot.png", "A 38115-2021")</f>
        <v/>
      </c>
      <c r="V396">
        <f>HYPERLINK("https://klasma.github.io/Logging_2161/klagomål/A 38115-2021 FSC-klagomål.docx", "A 38115-2021")</f>
        <v/>
      </c>
      <c r="W396">
        <f>HYPERLINK("https://klasma.github.io/Logging_2161/klagomålsmail/A 38115-2021 FSC-klagomål mail.docx", "A 38115-2021")</f>
        <v/>
      </c>
      <c r="X396">
        <f>HYPERLINK("https://klasma.github.io/Logging_2161/tillsyn/A 38115-2021 tillsynsbegäran.docx", "A 38115-2021")</f>
        <v/>
      </c>
      <c r="Y396">
        <f>HYPERLINK("https://klasma.github.io/Logging_2161/tillsynsmail/A 38115-2021 tillsynsbegäran mail.docx", "A 38115-2021")</f>
        <v/>
      </c>
    </row>
    <row r="397" ht="15" customHeight="1">
      <c r="A397" t="inlineStr">
        <is>
          <t>A 38388-2021</t>
        </is>
      </c>
      <c r="B397" s="1" t="n">
        <v>44406</v>
      </c>
      <c r="C397" s="1" t="n">
        <v>45578</v>
      </c>
      <c r="D397" t="inlineStr">
        <is>
          <t>GÄVLEBORGS LÄN</t>
        </is>
      </c>
      <c r="E397" t="inlineStr">
        <is>
          <t>LJUSDAL</t>
        </is>
      </c>
      <c r="F397" t="inlineStr">
        <is>
          <t>Sveaskog</t>
        </is>
      </c>
      <c r="G397" t="n">
        <v>9.199999999999999</v>
      </c>
      <c r="H397" t="n">
        <v>1</v>
      </c>
      <c r="I397" t="n">
        <v>0</v>
      </c>
      <c r="J397" t="n">
        <v>0</v>
      </c>
      <c r="K397" t="n">
        <v>0</v>
      </c>
      <c r="L397" t="n">
        <v>1</v>
      </c>
      <c r="M397" t="n">
        <v>0</v>
      </c>
      <c r="N397" t="n">
        <v>0</v>
      </c>
      <c r="O397" t="n">
        <v>1</v>
      </c>
      <c r="P397" t="n">
        <v>1</v>
      </c>
      <c r="Q397" t="n">
        <v>1</v>
      </c>
      <c r="R397" s="2" t="inlineStr">
        <is>
          <t>Mosippa</t>
        </is>
      </c>
      <c r="S397">
        <f>HYPERLINK("https://klasma.github.io/Logging_2161/artfynd/A 38388-2021 artfynd.xlsx", "A 38388-2021")</f>
        <v/>
      </c>
      <c r="T397">
        <f>HYPERLINK("https://klasma.github.io/Logging_2161/kartor/A 38388-2021 karta.png", "A 38388-2021")</f>
        <v/>
      </c>
      <c r="V397">
        <f>HYPERLINK("https://klasma.github.io/Logging_2161/klagomål/A 38388-2021 FSC-klagomål.docx", "A 38388-2021")</f>
        <v/>
      </c>
      <c r="W397">
        <f>HYPERLINK("https://klasma.github.io/Logging_2161/klagomålsmail/A 38388-2021 FSC-klagomål mail.docx", "A 38388-2021")</f>
        <v/>
      </c>
      <c r="X397">
        <f>HYPERLINK("https://klasma.github.io/Logging_2161/tillsyn/A 38388-2021 tillsynsbegäran.docx", "A 38388-2021")</f>
        <v/>
      </c>
      <c r="Y397">
        <f>HYPERLINK("https://klasma.github.io/Logging_2161/tillsynsmail/A 38388-2021 tillsynsbegäran mail.docx", "A 38388-2021")</f>
        <v/>
      </c>
    </row>
    <row r="398" ht="15" customHeight="1">
      <c r="A398" t="inlineStr">
        <is>
          <t>A 40986-2021</t>
        </is>
      </c>
      <c r="B398" s="1" t="n">
        <v>44421</v>
      </c>
      <c r="C398" s="1" t="n">
        <v>45578</v>
      </c>
      <c r="D398" t="inlineStr">
        <is>
          <t>GÄVLEBORGS LÄN</t>
        </is>
      </c>
      <c r="E398" t="inlineStr">
        <is>
          <t>GÄVLE</t>
        </is>
      </c>
      <c r="F398" t="inlineStr">
        <is>
          <t>Bergvik skog öst AB</t>
        </is>
      </c>
      <c r="G398" t="n">
        <v>5.7</v>
      </c>
      <c r="H398" t="n">
        <v>1</v>
      </c>
      <c r="I398" t="n">
        <v>0</v>
      </c>
      <c r="J398" t="n">
        <v>1</v>
      </c>
      <c r="K398" t="n">
        <v>0</v>
      </c>
      <c r="L398" t="n">
        <v>0</v>
      </c>
      <c r="M398" t="n">
        <v>0</v>
      </c>
      <c r="N398" t="n">
        <v>0</v>
      </c>
      <c r="O398" t="n">
        <v>1</v>
      </c>
      <c r="P398" t="n">
        <v>0</v>
      </c>
      <c r="Q398" t="n">
        <v>1</v>
      </c>
      <c r="R398" s="2" t="inlineStr">
        <is>
          <t>Rödvingetrast</t>
        </is>
      </c>
      <c r="S398">
        <f>HYPERLINK("https://klasma.github.io/Logging_2180/artfynd/A 40986-2021 artfynd.xlsx", "A 40986-2021")</f>
        <v/>
      </c>
      <c r="T398">
        <f>HYPERLINK("https://klasma.github.io/Logging_2180/kartor/A 40986-2021 karta.png", "A 40986-2021")</f>
        <v/>
      </c>
      <c r="V398">
        <f>HYPERLINK("https://klasma.github.io/Logging_2180/klagomål/A 40986-2021 FSC-klagomål.docx", "A 40986-2021")</f>
        <v/>
      </c>
      <c r="W398">
        <f>HYPERLINK("https://klasma.github.io/Logging_2180/klagomålsmail/A 40986-2021 FSC-klagomål mail.docx", "A 40986-2021")</f>
        <v/>
      </c>
      <c r="X398">
        <f>HYPERLINK("https://klasma.github.io/Logging_2180/tillsyn/A 40986-2021 tillsynsbegäran.docx", "A 40986-2021")</f>
        <v/>
      </c>
      <c r="Y398">
        <f>HYPERLINK("https://klasma.github.io/Logging_2180/tillsynsmail/A 40986-2021 tillsynsbegäran mail.docx", "A 40986-2021")</f>
        <v/>
      </c>
      <c r="Z398">
        <f>HYPERLINK("https://klasma.github.io/Logging_2180/fåglar/A 40986-2021 prioriterade fågelarter.docx", "A 40986-2021")</f>
        <v/>
      </c>
    </row>
    <row r="399" ht="15" customHeight="1">
      <c r="A399" t="inlineStr">
        <is>
          <t>A 43383-2021</t>
        </is>
      </c>
      <c r="B399" s="1" t="n">
        <v>44432</v>
      </c>
      <c r="C399" s="1" t="n">
        <v>45578</v>
      </c>
      <c r="D399" t="inlineStr">
        <is>
          <t>GÄVLEBORGS LÄN</t>
        </is>
      </c>
      <c r="E399" t="inlineStr">
        <is>
          <t>LJUSDAL</t>
        </is>
      </c>
      <c r="F399" t="inlineStr">
        <is>
          <t>Sveaskog</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43383-2021 artfynd.xlsx", "A 43383-2021")</f>
        <v/>
      </c>
      <c r="T399">
        <f>HYPERLINK("https://klasma.github.io/Logging_2161/kartor/A 43383-2021 karta.png", "A 43383-2021")</f>
        <v/>
      </c>
      <c r="V399">
        <f>HYPERLINK("https://klasma.github.io/Logging_2161/klagomål/A 43383-2021 FSC-klagomål.docx", "A 43383-2021")</f>
        <v/>
      </c>
      <c r="W399">
        <f>HYPERLINK("https://klasma.github.io/Logging_2161/klagomålsmail/A 43383-2021 FSC-klagomål mail.docx", "A 43383-2021")</f>
        <v/>
      </c>
      <c r="X399">
        <f>HYPERLINK("https://klasma.github.io/Logging_2161/tillsyn/A 43383-2021 tillsynsbegäran.docx", "A 43383-2021")</f>
        <v/>
      </c>
      <c r="Y399">
        <f>HYPERLINK("https://klasma.github.io/Logging_2161/tillsynsmail/A 43383-2021 tillsynsbegäran mail.docx", "A 43383-2021")</f>
        <v/>
      </c>
    </row>
    <row r="400" ht="15" customHeight="1">
      <c r="A400" t="inlineStr">
        <is>
          <t>A 44694-2021</t>
        </is>
      </c>
      <c r="B400" s="1" t="n">
        <v>44438</v>
      </c>
      <c r="C400" s="1" t="n">
        <v>45578</v>
      </c>
      <c r="D400" t="inlineStr">
        <is>
          <t>GÄVLEBORGS LÄN</t>
        </is>
      </c>
      <c r="E400" t="inlineStr">
        <is>
          <t>LJUSDAL</t>
        </is>
      </c>
      <c r="F400" t="inlineStr">
        <is>
          <t>Sveaskog</t>
        </is>
      </c>
      <c r="G400" t="n">
        <v>3.2</v>
      </c>
      <c r="H400" t="n">
        <v>0</v>
      </c>
      <c r="I400" t="n">
        <v>0</v>
      </c>
      <c r="J400" t="n">
        <v>1</v>
      </c>
      <c r="K400" t="n">
        <v>0</v>
      </c>
      <c r="L400" t="n">
        <v>0</v>
      </c>
      <c r="M400" t="n">
        <v>0</v>
      </c>
      <c r="N400" t="n">
        <v>0</v>
      </c>
      <c r="O400" t="n">
        <v>1</v>
      </c>
      <c r="P400" t="n">
        <v>0</v>
      </c>
      <c r="Q400" t="n">
        <v>1</v>
      </c>
      <c r="R400" s="2" t="inlineStr">
        <is>
          <t>Granticka</t>
        </is>
      </c>
      <c r="S400">
        <f>HYPERLINK("https://klasma.github.io/Logging_2161/artfynd/A 44694-2021 artfynd.xlsx", "A 44694-2021")</f>
        <v/>
      </c>
      <c r="T400">
        <f>HYPERLINK("https://klasma.github.io/Logging_2161/kartor/A 44694-2021 karta.png", "A 44694-2021")</f>
        <v/>
      </c>
      <c r="V400">
        <f>HYPERLINK("https://klasma.github.io/Logging_2161/klagomål/A 44694-2021 FSC-klagomål.docx", "A 44694-2021")</f>
        <v/>
      </c>
      <c r="W400">
        <f>HYPERLINK("https://klasma.github.io/Logging_2161/klagomålsmail/A 44694-2021 FSC-klagomål mail.docx", "A 44694-2021")</f>
        <v/>
      </c>
      <c r="X400">
        <f>HYPERLINK("https://klasma.github.io/Logging_2161/tillsyn/A 44694-2021 tillsynsbegäran.docx", "A 44694-2021")</f>
        <v/>
      </c>
      <c r="Y400">
        <f>HYPERLINK("https://klasma.github.io/Logging_2161/tillsynsmail/A 44694-2021 tillsynsbegäran mail.docx", "A 44694-2021")</f>
        <v/>
      </c>
    </row>
    <row r="401" ht="15" customHeight="1">
      <c r="A401" t="inlineStr">
        <is>
          <t>A 48180-2021</t>
        </is>
      </c>
      <c r="B401" s="1" t="n">
        <v>44449</v>
      </c>
      <c r="C401" s="1" t="n">
        <v>45578</v>
      </c>
      <c r="D401" t="inlineStr">
        <is>
          <t>GÄVLEBORGS LÄN</t>
        </is>
      </c>
      <c r="E401" t="inlineStr">
        <is>
          <t>LJUSDAL</t>
        </is>
      </c>
      <c r="F401" t="inlineStr">
        <is>
          <t>Sveaskog</t>
        </is>
      </c>
      <c r="G401" t="n">
        <v>1.4</v>
      </c>
      <c r="H401" t="n">
        <v>0</v>
      </c>
      <c r="I401" t="n">
        <v>0</v>
      </c>
      <c r="J401" t="n">
        <v>1</v>
      </c>
      <c r="K401" t="n">
        <v>0</v>
      </c>
      <c r="L401" t="n">
        <v>0</v>
      </c>
      <c r="M401" t="n">
        <v>0</v>
      </c>
      <c r="N401" t="n">
        <v>0</v>
      </c>
      <c r="O401" t="n">
        <v>1</v>
      </c>
      <c r="P401" t="n">
        <v>0</v>
      </c>
      <c r="Q401" t="n">
        <v>1</v>
      </c>
      <c r="R401" s="2" t="inlineStr">
        <is>
          <t>Garnlav</t>
        </is>
      </c>
      <c r="S401">
        <f>HYPERLINK("https://klasma.github.io/Logging_2161/artfynd/A 48180-2021 artfynd.xlsx", "A 48180-2021")</f>
        <v/>
      </c>
      <c r="T401">
        <f>HYPERLINK("https://klasma.github.io/Logging_2161/kartor/A 48180-2021 karta.png", "A 48180-2021")</f>
        <v/>
      </c>
      <c r="V401">
        <f>HYPERLINK("https://klasma.github.io/Logging_2161/klagomål/A 48180-2021 FSC-klagomål.docx", "A 48180-2021")</f>
        <v/>
      </c>
      <c r="W401">
        <f>HYPERLINK("https://klasma.github.io/Logging_2161/klagomålsmail/A 48180-2021 FSC-klagomål mail.docx", "A 48180-2021")</f>
        <v/>
      </c>
      <c r="X401">
        <f>HYPERLINK("https://klasma.github.io/Logging_2161/tillsyn/A 48180-2021 tillsynsbegäran.docx", "A 48180-2021")</f>
        <v/>
      </c>
      <c r="Y401">
        <f>HYPERLINK("https://klasma.github.io/Logging_2161/tillsynsmail/A 48180-2021 tillsynsbegäran mail.docx", "A 48180-2021")</f>
        <v/>
      </c>
    </row>
    <row r="402" ht="15" customHeight="1">
      <c r="A402" t="inlineStr">
        <is>
          <t>A 48805-2021</t>
        </is>
      </c>
      <c r="B402" s="1" t="n">
        <v>44452</v>
      </c>
      <c r="C402" s="1" t="n">
        <v>45578</v>
      </c>
      <c r="D402" t="inlineStr">
        <is>
          <t>GÄVLEBORGS LÄN</t>
        </is>
      </c>
      <c r="E402" t="inlineStr">
        <is>
          <t>SANDVIKEN</t>
        </is>
      </c>
      <c r="F402" t="inlineStr">
        <is>
          <t>Sveaskog</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HYPERLINK("https://klasma.github.io/Logging_2181/artfynd/A 48805-2021 artfynd.xlsx", "A 48805-2021")</f>
        <v/>
      </c>
      <c r="T402">
        <f>HYPERLINK("https://klasma.github.io/Logging_2181/kartor/A 48805-2021 karta.png", "A 48805-2021")</f>
        <v/>
      </c>
      <c r="U402">
        <f>HYPERLINK("https://klasma.github.io/Logging_2181/knärot/A 48805-2021 karta knärot.png", "A 48805-2021")</f>
        <v/>
      </c>
      <c r="V402">
        <f>HYPERLINK("https://klasma.github.io/Logging_2181/klagomål/A 48805-2021 FSC-klagomål.docx", "A 48805-2021")</f>
        <v/>
      </c>
      <c r="W402">
        <f>HYPERLINK("https://klasma.github.io/Logging_2181/klagomålsmail/A 48805-2021 FSC-klagomål mail.docx", "A 48805-2021")</f>
        <v/>
      </c>
      <c r="X402">
        <f>HYPERLINK("https://klasma.github.io/Logging_2181/tillsyn/A 48805-2021 tillsynsbegäran.docx", "A 48805-2021")</f>
        <v/>
      </c>
      <c r="Y402">
        <f>HYPERLINK("https://klasma.github.io/Logging_2181/tillsynsmail/A 48805-2021 tillsynsbegäran mail.docx", "A 48805-2021")</f>
        <v/>
      </c>
    </row>
    <row r="403" ht="15" customHeight="1">
      <c r="A403" t="inlineStr">
        <is>
          <t>A 51574-2021</t>
        </is>
      </c>
      <c r="B403" s="1" t="n">
        <v>44462</v>
      </c>
      <c r="C403" s="1" t="n">
        <v>45578</v>
      </c>
      <c r="D403" t="inlineStr">
        <is>
          <t>GÄVLEBORGS LÄN</t>
        </is>
      </c>
      <c r="E403" t="inlineStr">
        <is>
          <t>OCKELBO</t>
        </is>
      </c>
      <c r="F403" t="inlineStr">
        <is>
          <t>Bergvik skog väst AB</t>
        </is>
      </c>
      <c r="G403" t="n">
        <v>3.2</v>
      </c>
      <c r="H403" t="n">
        <v>0</v>
      </c>
      <c r="I403" t="n">
        <v>1</v>
      </c>
      <c r="J403" t="n">
        <v>0</v>
      </c>
      <c r="K403" t="n">
        <v>0</v>
      </c>
      <c r="L403" t="n">
        <v>0</v>
      </c>
      <c r="M403" t="n">
        <v>0</v>
      </c>
      <c r="N403" t="n">
        <v>0</v>
      </c>
      <c r="O403" t="n">
        <v>0</v>
      </c>
      <c r="P403" t="n">
        <v>0</v>
      </c>
      <c r="Q403" t="n">
        <v>1</v>
      </c>
      <c r="R403" s="2" t="inlineStr">
        <is>
          <t>Tibast</t>
        </is>
      </c>
      <c r="S403">
        <f>HYPERLINK("https://klasma.github.io/Logging_2101/artfynd/A 51574-2021 artfynd.xlsx", "A 51574-2021")</f>
        <v/>
      </c>
      <c r="T403">
        <f>HYPERLINK("https://klasma.github.io/Logging_2101/kartor/A 51574-2021 karta.png", "A 51574-2021")</f>
        <v/>
      </c>
      <c r="V403">
        <f>HYPERLINK("https://klasma.github.io/Logging_2101/klagomål/A 51574-2021 FSC-klagomål.docx", "A 51574-2021")</f>
        <v/>
      </c>
      <c r="W403">
        <f>HYPERLINK("https://klasma.github.io/Logging_2101/klagomålsmail/A 51574-2021 FSC-klagomål mail.docx", "A 51574-2021")</f>
        <v/>
      </c>
      <c r="X403">
        <f>HYPERLINK("https://klasma.github.io/Logging_2101/tillsyn/A 51574-2021 tillsynsbegäran.docx", "A 51574-2021")</f>
        <v/>
      </c>
      <c r="Y403">
        <f>HYPERLINK("https://klasma.github.io/Logging_2101/tillsynsmail/A 51574-2021 tillsynsbegäran mail.docx", "A 51574-2021")</f>
        <v/>
      </c>
    </row>
    <row r="404" ht="15" customHeight="1">
      <c r="A404" t="inlineStr">
        <is>
          <t>A 52166-2021</t>
        </is>
      </c>
      <c r="B404" s="1" t="n">
        <v>44463</v>
      </c>
      <c r="C404" s="1" t="n">
        <v>45578</v>
      </c>
      <c r="D404" t="inlineStr">
        <is>
          <t>GÄVLEBORGS LÄN</t>
        </is>
      </c>
      <c r="E404" t="inlineStr">
        <is>
          <t>OVANÅKER</t>
        </is>
      </c>
      <c r="F404" t="inlineStr">
        <is>
          <t>Sveaskog</t>
        </is>
      </c>
      <c r="G404" t="n">
        <v>0.4</v>
      </c>
      <c r="H404" t="n">
        <v>0</v>
      </c>
      <c r="I404" t="n">
        <v>1</v>
      </c>
      <c r="J404" t="n">
        <v>0</v>
      </c>
      <c r="K404" t="n">
        <v>0</v>
      </c>
      <c r="L404" t="n">
        <v>0</v>
      </c>
      <c r="M404" t="n">
        <v>0</v>
      </c>
      <c r="N404" t="n">
        <v>0</v>
      </c>
      <c r="O404" t="n">
        <v>0</v>
      </c>
      <c r="P404" t="n">
        <v>0</v>
      </c>
      <c r="Q404" t="n">
        <v>1</v>
      </c>
      <c r="R404" s="2" t="inlineStr">
        <is>
          <t>Dropptaggsvamp</t>
        </is>
      </c>
      <c r="S404">
        <f>HYPERLINK("https://klasma.github.io/Logging_2121/artfynd/A 52166-2021 artfynd.xlsx", "A 52166-2021")</f>
        <v/>
      </c>
      <c r="T404">
        <f>HYPERLINK("https://klasma.github.io/Logging_2121/kartor/A 52166-2021 karta.png", "A 52166-2021")</f>
        <v/>
      </c>
      <c r="V404">
        <f>HYPERLINK("https://klasma.github.io/Logging_2121/klagomål/A 52166-2021 FSC-klagomål.docx", "A 52166-2021")</f>
        <v/>
      </c>
      <c r="W404">
        <f>HYPERLINK("https://klasma.github.io/Logging_2121/klagomålsmail/A 52166-2021 FSC-klagomål mail.docx", "A 52166-2021")</f>
        <v/>
      </c>
      <c r="X404">
        <f>HYPERLINK("https://klasma.github.io/Logging_2121/tillsyn/A 52166-2021 tillsynsbegäran.docx", "A 52166-2021")</f>
        <v/>
      </c>
      <c r="Y404">
        <f>HYPERLINK("https://klasma.github.io/Logging_2121/tillsynsmail/A 52166-2021 tillsynsbegäran mail.docx", "A 52166-2021")</f>
        <v/>
      </c>
    </row>
    <row r="405" ht="15" customHeight="1">
      <c r="A405" t="inlineStr">
        <is>
          <t>A 54828-2021</t>
        </is>
      </c>
      <c r="B405" s="1" t="n">
        <v>44473</v>
      </c>
      <c r="C405" s="1" t="n">
        <v>45578</v>
      </c>
      <c r="D405" t="inlineStr">
        <is>
          <t>GÄVLEBORGS LÄN</t>
        </is>
      </c>
      <c r="E405" t="inlineStr">
        <is>
          <t>HOFORS</t>
        </is>
      </c>
      <c r="F405" t="inlineStr">
        <is>
          <t>Bergvik skog väst AB</t>
        </is>
      </c>
      <c r="G405" t="n">
        <v>5.1</v>
      </c>
      <c r="H405" t="n">
        <v>1</v>
      </c>
      <c r="I405" t="n">
        <v>0</v>
      </c>
      <c r="J405" t="n">
        <v>0</v>
      </c>
      <c r="K405" t="n">
        <v>1</v>
      </c>
      <c r="L405" t="n">
        <v>0</v>
      </c>
      <c r="M405" t="n">
        <v>0</v>
      </c>
      <c r="N405" t="n">
        <v>0</v>
      </c>
      <c r="O405" t="n">
        <v>1</v>
      </c>
      <c r="P405" t="n">
        <v>1</v>
      </c>
      <c r="Q405" t="n">
        <v>1</v>
      </c>
      <c r="R405" s="2" t="inlineStr">
        <is>
          <t>Knärot</t>
        </is>
      </c>
      <c r="S405">
        <f>HYPERLINK("https://klasma.github.io/Logging_2104/artfynd/A 54828-2021 artfynd.xlsx", "A 54828-2021")</f>
        <v/>
      </c>
      <c r="T405">
        <f>HYPERLINK("https://klasma.github.io/Logging_2104/kartor/A 54828-2021 karta.png", "A 54828-2021")</f>
        <v/>
      </c>
      <c r="U405">
        <f>HYPERLINK("https://klasma.github.io/Logging_2104/knärot/A 54828-2021 karta knärot.png", "A 54828-2021")</f>
        <v/>
      </c>
      <c r="V405">
        <f>HYPERLINK("https://klasma.github.io/Logging_2104/klagomål/A 54828-2021 FSC-klagomål.docx", "A 54828-2021")</f>
        <v/>
      </c>
      <c r="W405">
        <f>HYPERLINK("https://klasma.github.io/Logging_2104/klagomålsmail/A 54828-2021 FSC-klagomål mail.docx", "A 54828-2021")</f>
        <v/>
      </c>
      <c r="X405">
        <f>HYPERLINK("https://klasma.github.io/Logging_2104/tillsyn/A 54828-2021 tillsynsbegäran.docx", "A 54828-2021")</f>
        <v/>
      </c>
      <c r="Y405">
        <f>HYPERLINK("https://klasma.github.io/Logging_2104/tillsynsmail/A 54828-2021 tillsynsbegäran mail.docx", "A 54828-2021")</f>
        <v/>
      </c>
    </row>
    <row r="406" ht="15" customHeight="1">
      <c r="A406" t="inlineStr">
        <is>
          <t>A 56589-2021</t>
        </is>
      </c>
      <c r="B406" s="1" t="n">
        <v>44480</v>
      </c>
      <c r="C406" s="1" t="n">
        <v>45578</v>
      </c>
      <c r="D406" t="inlineStr">
        <is>
          <t>GÄVLEBORGS LÄN</t>
        </is>
      </c>
      <c r="E406" t="inlineStr">
        <is>
          <t>LJUSDAL</t>
        </is>
      </c>
      <c r="G406" t="n">
        <v>11.4</v>
      </c>
      <c r="H406" t="n">
        <v>1</v>
      </c>
      <c r="I406" t="n">
        <v>0</v>
      </c>
      <c r="J406" t="n">
        <v>0</v>
      </c>
      <c r="K406" t="n">
        <v>1</v>
      </c>
      <c r="L406" t="n">
        <v>0</v>
      </c>
      <c r="M406" t="n">
        <v>0</v>
      </c>
      <c r="N406" t="n">
        <v>0</v>
      </c>
      <c r="O406" t="n">
        <v>1</v>
      </c>
      <c r="P406" t="n">
        <v>1</v>
      </c>
      <c r="Q406" t="n">
        <v>1</v>
      </c>
      <c r="R406" s="2" t="inlineStr">
        <is>
          <t>Tallbit</t>
        </is>
      </c>
      <c r="S406">
        <f>HYPERLINK("https://klasma.github.io/Logging_2161/artfynd/A 56589-2021 artfynd.xlsx", "A 56589-2021")</f>
        <v/>
      </c>
      <c r="T406">
        <f>HYPERLINK("https://klasma.github.io/Logging_2161/kartor/A 56589-2021 karta.png", "A 56589-2021")</f>
        <v/>
      </c>
      <c r="V406">
        <f>HYPERLINK("https://klasma.github.io/Logging_2161/klagomål/A 56589-2021 FSC-klagomål.docx", "A 56589-2021")</f>
        <v/>
      </c>
      <c r="W406">
        <f>HYPERLINK("https://klasma.github.io/Logging_2161/klagomålsmail/A 56589-2021 FSC-klagomål mail.docx", "A 56589-2021")</f>
        <v/>
      </c>
      <c r="X406">
        <f>HYPERLINK("https://klasma.github.io/Logging_2161/tillsyn/A 56589-2021 tillsynsbegäran.docx", "A 56589-2021")</f>
        <v/>
      </c>
      <c r="Y406">
        <f>HYPERLINK("https://klasma.github.io/Logging_2161/tillsynsmail/A 56589-2021 tillsynsbegäran mail.docx", "A 56589-2021")</f>
        <v/>
      </c>
      <c r="Z406">
        <f>HYPERLINK("https://klasma.github.io/Logging_2161/fåglar/A 56589-2021 prioriterade fågelarter.docx", "A 56589-2021")</f>
        <v/>
      </c>
    </row>
    <row r="407" ht="15" customHeight="1">
      <c r="A407" t="inlineStr">
        <is>
          <t>A 58900-2021</t>
        </is>
      </c>
      <c r="B407" s="1" t="n">
        <v>44489</v>
      </c>
      <c r="C407" s="1" t="n">
        <v>45578</v>
      </c>
      <c r="D407" t="inlineStr">
        <is>
          <t>GÄVLEBORGS LÄN</t>
        </is>
      </c>
      <c r="E407" t="inlineStr">
        <is>
          <t>LJUSDAL</t>
        </is>
      </c>
      <c r="F407" t="inlineStr">
        <is>
          <t>Sveaskog</t>
        </is>
      </c>
      <c r="G407" t="n">
        <v>5.2</v>
      </c>
      <c r="H407" t="n">
        <v>0</v>
      </c>
      <c r="I407" t="n">
        <v>1</v>
      </c>
      <c r="J407" t="n">
        <v>0</v>
      </c>
      <c r="K407" t="n">
        <v>0</v>
      </c>
      <c r="L407" t="n">
        <v>0</v>
      </c>
      <c r="M407" t="n">
        <v>0</v>
      </c>
      <c r="N407" t="n">
        <v>0</v>
      </c>
      <c r="O407" t="n">
        <v>0</v>
      </c>
      <c r="P407" t="n">
        <v>0</v>
      </c>
      <c r="Q407" t="n">
        <v>1</v>
      </c>
      <c r="R407" s="2" t="inlineStr">
        <is>
          <t>Skuggblåslav</t>
        </is>
      </c>
      <c r="S407">
        <f>HYPERLINK("https://klasma.github.io/Logging_2161/artfynd/A 58900-2021 artfynd.xlsx", "A 58900-2021")</f>
        <v/>
      </c>
      <c r="T407">
        <f>HYPERLINK("https://klasma.github.io/Logging_2161/kartor/A 58900-2021 karta.png", "A 58900-2021")</f>
        <v/>
      </c>
      <c r="V407">
        <f>HYPERLINK("https://klasma.github.io/Logging_2161/klagomål/A 58900-2021 FSC-klagomål.docx", "A 58900-2021")</f>
        <v/>
      </c>
      <c r="W407">
        <f>HYPERLINK("https://klasma.github.io/Logging_2161/klagomålsmail/A 58900-2021 FSC-klagomål mail.docx", "A 58900-2021")</f>
        <v/>
      </c>
      <c r="X407">
        <f>HYPERLINK("https://klasma.github.io/Logging_2161/tillsyn/A 58900-2021 tillsynsbegäran.docx", "A 58900-2021")</f>
        <v/>
      </c>
      <c r="Y407">
        <f>HYPERLINK("https://klasma.github.io/Logging_2161/tillsynsmail/A 58900-2021 tillsynsbegäran mail.docx", "A 58900-2021")</f>
        <v/>
      </c>
    </row>
    <row r="408" ht="15" customHeight="1">
      <c r="A408" t="inlineStr">
        <is>
          <t>A 58828-2021</t>
        </is>
      </c>
      <c r="B408" s="1" t="n">
        <v>44489</v>
      </c>
      <c r="C408" s="1" t="n">
        <v>45578</v>
      </c>
      <c r="D408" t="inlineStr">
        <is>
          <t>GÄVLEBORGS LÄN</t>
        </is>
      </c>
      <c r="E408" t="inlineStr">
        <is>
          <t>NORDANSTIG</t>
        </is>
      </c>
      <c r="G408" t="n">
        <v>1.3</v>
      </c>
      <c r="H408" t="n">
        <v>0</v>
      </c>
      <c r="I408" t="n">
        <v>0</v>
      </c>
      <c r="J408" t="n">
        <v>1</v>
      </c>
      <c r="K408" t="n">
        <v>0</v>
      </c>
      <c r="L408" t="n">
        <v>0</v>
      </c>
      <c r="M408" t="n">
        <v>0</v>
      </c>
      <c r="N408" t="n">
        <v>0</v>
      </c>
      <c r="O408" t="n">
        <v>1</v>
      </c>
      <c r="P408" t="n">
        <v>0</v>
      </c>
      <c r="Q408" t="n">
        <v>1</v>
      </c>
      <c r="R408" s="2" t="inlineStr">
        <is>
          <t>Lunglav</t>
        </is>
      </c>
      <c r="S408">
        <f>HYPERLINK("https://klasma.github.io/Logging_2132/artfynd/A 58828-2021 artfynd.xlsx", "A 58828-2021")</f>
        <v/>
      </c>
      <c r="T408">
        <f>HYPERLINK("https://klasma.github.io/Logging_2132/kartor/A 58828-2021 karta.png", "A 58828-2021")</f>
        <v/>
      </c>
      <c r="V408">
        <f>HYPERLINK("https://klasma.github.io/Logging_2132/klagomål/A 58828-2021 FSC-klagomål.docx", "A 58828-2021")</f>
        <v/>
      </c>
      <c r="W408">
        <f>HYPERLINK("https://klasma.github.io/Logging_2132/klagomålsmail/A 58828-2021 FSC-klagomål mail.docx", "A 58828-2021")</f>
        <v/>
      </c>
      <c r="X408">
        <f>HYPERLINK("https://klasma.github.io/Logging_2132/tillsyn/A 58828-2021 tillsynsbegäran.docx", "A 58828-2021")</f>
        <v/>
      </c>
      <c r="Y408">
        <f>HYPERLINK("https://klasma.github.io/Logging_2132/tillsynsmail/A 58828-2021 tillsynsbegäran mail.docx", "A 58828-2021")</f>
        <v/>
      </c>
    </row>
    <row r="409" ht="15" customHeight="1">
      <c r="A409" t="inlineStr">
        <is>
          <t>A 59225-2021</t>
        </is>
      </c>
      <c r="B409" s="1" t="n">
        <v>44490</v>
      </c>
      <c r="C409" s="1" t="n">
        <v>45578</v>
      </c>
      <c r="D409" t="inlineStr">
        <is>
          <t>GÄVLEBORGS LÄN</t>
        </is>
      </c>
      <c r="E409" t="inlineStr">
        <is>
          <t>GÄVLE</t>
        </is>
      </c>
      <c r="F409" t="inlineStr">
        <is>
          <t>Bergvik skog öst AB</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HYPERLINK("https://klasma.github.io/Logging_2180/artfynd/A 59225-2021 artfynd.xlsx", "A 59225-2021")</f>
        <v/>
      </c>
      <c r="T409">
        <f>HYPERLINK("https://klasma.github.io/Logging_2180/kartor/A 59225-2021 karta.png", "A 59225-2021")</f>
        <v/>
      </c>
      <c r="V409">
        <f>HYPERLINK("https://klasma.github.io/Logging_2180/klagomål/A 59225-2021 FSC-klagomål.docx", "A 59225-2021")</f>
        <v/>
      </c>
      <c r="W409">
        <f>HYPERLINK("https://klasma.github.io/Logging_2180/klagomålsmail/A 59225-2021 FSC-klagomål mail.docx", "A 59225-2021")</f>
        <v/>
      </c>
      <c r="X409">
        <f>HYPERLINK("https://klasma.github.io/Logging_2180/tillsyn/A 59225-2021 tillsynsbegäran.docx", "A 59225-2021")</f>
        <v/>
      </c>
      <c r="Y409">
        <f>HYPERLINK("https://klasma.github.io/Logging_2180/tillsynsmail/A 59225-2021 tillsynsbegäran mail.docx", "A 59225-2021")</f>
        <v/>
      </c>
    </row>
    <row r="410" ht="15" customHeight="1">
      <c r="A410" t="inlineStr">
        <is>
          <t>A 59607-2021</t>
        </is>
      </c>
      <c r="B410" s="1" t="n">
        <v>44491</v>
      </c>
      <c r="C410" s="1" t="n">
        <v>45578</v>
      </c>
      <c r="D410" t="inlineStr">
        <is>
          <t>GÄVLEBORGS LÄN</t>
        </is>
      </c>
      <c r="E410" t="inlineStr">
        <is>
          <t>LJUSDAL</t>
        </is>
      </c>
      <c r="F410" t="inlineStr">
        <is>
          <t>Sveaskog</t>
        </is>
      </c>
      <c r="G410" t="n">
        <v>1.7</v>
      </c>
      <c r="H410" t="n">
        <v>1</v>
      </c>
      <c r="I410" t="n">
        <v>0</v>
      </c>
      <c r="J410" t="n">
        <v>0</v>
      </c>
      <c r="K410" t="n">
        <v>1</v>
      </c>
      <c r="L410" t="n">
        <v>0</v>
      </c>
      <c r="M410" t="n">
        <v>0</v>
      </c>
      <c r="N410" t="n">
        <v>0</v>
      </c>
      <c r="O410" t="n">
        <v>1</v>
      </c>
      <c r="P410" t="n">
        <v>1</v>
      </c>
      <c r="Q410" t="n">
        <v>1</v>
      </c>
      <c r="R410" s="2" t="inlineStr">
        <is>
          <t>Knärot</t>
        </is>
      </c>
      <c r="S410">
        <f>HYPERLINK("https://klasma.github.io/Logging_2161/artfynd/A 59607-2021 artfynd.xlsx", "A 59607-2021")</f>
        <v/>
      </c>
      <c r="T410">
        <f>HYPERLINK("https://klasma.github.io/Logging_2161/kartor/A 59607-2021 karta.png", "A 59607-2021")</f>
        <v/>
      </c>
      <c r="U410">
        <f>HYPERLINK("https://klasma.github.io/Logging_2161/knärot/A 59607-2021 karta knärot.png", "A 59607-2021")</f>
        <v/>
      </c>
      <c r="V410">
        <f>HYPERLINK("https://klasma.github.io/Logging_2161/klagomål/A 59607-2021 FSC-klagomål.docx", "A 59607-2021")</f>
        <v/>
      </c>
      <c r="W410">
        <f>HYPERLINK("https://klasma.github.io/Logging_2161/klagomålsmail/A 59607-2021 FSC-klagomål mail.docx", "A 59607-2021")</f>
        <v/>
      </c>
      <c r="X410">
        <f>HYPERLINK("https://klasma.github.io/Logging_2161/tillsyn/A 59607-2021 tillsynsbegäran.docx", "A 59607-2021")</f>
        <v/>
      </c>
      <c r="Y410">
        <f>HYPERLINK("https://klasma.github.io/Logging_2161/tillsynsmail/A 59607-2021 tillsynsbegäran mail.docx", "A 59607-2021")</f>
        <v/>
      </c>
    </row>
    <row r="411" ht="15" customHeight="1">
      <c r="A411" t="inlineStr">
        <is>
          <t>A 60615-2021</t>
        </is>
      </c>
      <c r="B411" s="1" t="n">
        <v>44496</v>
      </c>
      <c r="C411" s="1" t="n">
        <v>45578</v>
      </c>
      <c r="D411" t="inlineStr">
        <is>
          <t>GÄVLEBORGS LÄN</t>
        </is>
      </c>
      <c r="E411" t="inlineStr">
        <is>
          <t>OCKELBO</t>
        </is>
      </c>
      <c r="F411" t="inlineStr">
        <is>
          <t>Bergvik skog väst AB</t>
        </is>
      </c>
      <c r="G411" t="n">
        <v>1.4</v>
      </c>
      <c r="H411" t="n">
        <v>1</v>
      </c>
      <c r="I411" t="n">
        <v>0</v>
      </c>
      <c r="J411" t="n">
        <v>0</v>
      </c>
      <c r="K411" t="n">
        <v>0</v>
      </c>
      <c r="L411" t="n">
        <v>0</v>
      </c>
      <c r="M411" t="n">
        <v>0</v>
      </c>
      <c r="N411" t="n">
        <v>0</v>
      </c>
      <c r="O411" t="n">
        <v>0</v>
      </c>
      <c r="P411" t="n">
        <v>0</v>
      </c>
      <c r="Q411" t="n">
        <v>1</v>
      </c>
      <c r="R411" s="2" t="inlineStr">
        <is>
          <t>Vanlig padda</t>
        </is>
      </c>
      <c r="S411">
        <f>HYPERLINK("https://klasma.github.io/Logging_2101/artfynd/A 60615-2021 artfynd.xlsx", "A 60615-2021")</f>
        <v/>
      </c>
      <c r="T411">
        <f>HYPERLINK("https://klasma.github.io/Logging_2101/kartor/A 60615-2021 karta.png", "A 60615-2021")</f>
        <v/>
      </c>
      <c r="V411">
        <f>HYPERLINK("https://klasma.github.io/Logging_2101/klagomål/A 60615-2021 FSC-klagomål.docx", "A 60615-2021")</f>
        <v/>
      </c>
      <c r="W411">
        <f>HYPERLINK("https://klasma.github.io/Logging_2101/klagomålsmail/A 60615-2021 FSC-klagomål mail.docx", "A 60615-2021")</f>
        <v/>
      </c>
      <c r="X411">
        <f>HYPERLINK("https://klasma.github.io/Logging_2101/tillsyn/A 60615-2021 tillsynsbegäran.docx", "A 60615-2021")</f>
        <v/>
      </c>
      <c r="Y411">
        <f>HYPERLINK("https://klasma.github.io/Logging_2101/tillsynsmail/A 60615-2021 tillsynsbegäran mail.docx", "A 60615-2021")</f>
        <v/>
      </c>
    </row>
    <row r="412" ht="15" customHeight="1">
      <c r="A412" t="inlineStr">
        <is>
          <t>A 64604-2021</t>
        </is>
      </c>
      <c r="B412" s="1" t="n">
        <v>44511</v>
      </c>
      <c r="C412" s="1" t="n">
        <v>45578</v>
      </c>
      <c r="D412" t="inlineStr">
        <is>
          <t>GÄVLEBORGS LÄN</t>
        </is>
      </c>
      <c r="E412" t="inlineStr">
        <is>
          <t>HOFORS</t>
        </is>
      </c>
      <c r="F412" t="inlineStr">
        <is>
          <t>Kyrkan</t>
        </is>
      </c>
      <c r="G412" t="n">
        <v>1.7</v>
      </c>
      <c r="H412" t="n">
        <v>0</v>
      </c>
      <c r="I412" t="n">
        <v>1</v>
      </c>
      <c r="J412" t="n">
        <v>0</v>
      </c>
      <c r="K412" t="n">
        <v>0</v>
      </c>
      <c r="L412" t="n">
        <v>0</v>
      </c>
      <c r="M412" t="n">
        <v>0</v>
      </c>
      <c r="N412" t="n">
        <v>0</v>
      </c>
      <c r="O412" t="n">
        <v>0</v>
      </c>
      <c r="P412" t="n">
        <v>0</v>
      </c>
      <c r="Q412" t="n">
        <v>1</v>
      </c>
      <c r="R412" s="2" t="inlineStr">
        <is>
          <t>Bågpraktmossa</t>
        </is>
      </c>
      <c r="S412">
        <f>HYPERLINK("https://klasma.github.io/Logging_2104/artfynd/A 64604-2021 artfynd.xlsx", "A 64604-2021")</f>
        <v/>
      </c>
      <c r="T412">
        <f>HYPERLINK("https://klasma.github.io/Logging_2104/kartor/A 64604-2021 karta.png", "A 64604-2021")</f>
        <v/>
      </c>
      <c r="V412">
        <f>HYPERLINK("https://klasma.github.io/Logging_2104/klagomål/A 64604-2021 FSC-klagomål.docx", "A 64604-2021")</f>
        <v/>
      </c>
      <c r="W412">
        <f>HYPERLINK("https://klasma.github.io/Logging_2104/klagomålsmail/A 64604-2021 FSC-klagomål mail.docx", "A 64604-2021")</f>
        <v/>
      </c>
      <c r="X412">
        <f>HYPERLINK("https://klasma.github.io/Logging_2104/tillsyn/A 64604-2021 tillsynsbegäran.docx", "A 64604-2021")</f>
        <v/>
      </c>
      <c r="Y412">
        <f>HYPERLINK("https://klasma.github.io/Logging_2104/tillsynsmail/A 64604-2021 tillsynsbegäran mail.docx", "A 64604-2021")</f>
        <v/>
      </c>
    </row>
    <row r="413" ht="15" customHeight="1">
      <c r="A413" t="inlineStr">
        <is>
          <t>A 65446-2021</t>
        </is>
      </c>
      <c r="B413" s="1" t="n">
        <v>44515</v>
      </c>
      <c r="C413" s="1" t="n">
        <v>45578</v>
      </c>
      <c r="D413" t="inlineStr">
        <is>
          <t>GÄVLEBORGS LÄN</t>
        </is>
      </c>
      <c r="E413" t="inlineStr">
        <is>
          <t>BOLLNÄS</t>
        </is>
      </c>
      <c r="F413" t="inlineStr">
        <is>
          <t>Bergvik skog väst AB</t>
        </is>
      </c>
      <c r="G413" t="n">
        <v>14.4</v>
      </c>
      <c r="H413" t="n">
        <v>1</v>
      </c>
      <c r="I413" t="n">
        <v>0</v>
      </c>
      <c r="J413" t="n">
        <v>0</v>
      </c>
      <c r="K413" t="n">
        <v>0</v>
      </c>
      <c r="L413" t="n">
        <v>1</v>
      </c>
      <c r="M413" t="n">
        <v>0</v>
      </c>
      <c r="N413" t="n">
        <v>0</v>
      </c>
      <c r="O413" t="n">
        <v>1</v>
      </c>
      <c r="P413" t="n">
        <v>1</v>
      </c>
      <c r="Q413" t="n">
        <v>1</v>
      </c>
      <c r="R413" s="2" t="inlineStr">
        <is>
          <t>Bredgentiana</t>
        </is>
      </c>
      <c r="S413">
        <f>HYPERLINK("https://klasma.github.io/Logging_2183/artfynd/A 65446-2021 artfynd.xlsx", "A 65446-2021")</f>
        <v/>
      </c>
      <c r="T413">
        <f>HYPERLINK("https://klasma.github.io/Logging_2183/kartor/A 65446-2021 karta.png", "A 65446-2021")</f>
        <v/>
      </c>
      <c r="V413">
        <f>HYPERLINK("https://klasma.github.io/Logging_2183/klagomål/A 65446-2021 FSC-klagomål.docx", "A 65446-2021")</f>
        <v/>
      </c>
      <c r="W413">
        <f>HYPERLINK("https://klasma.github.io/Logging_2183/klagomålsmail/A 65446-2021 FSC-klagomål mail.docx", "A 65446-2021")</f>
        <v/>
      </c>
      <c r="X413">
        <f>HYPERLINK("https://klasma.github.io/Logging_2183/tillsyn/A 65446-2021 tillsynsbegäran.docx", "A 65446-2021")</f>
        <v/>
      </c>
      <c r="Y413">
        <f>HYPERLINK("https://klasma.github.io/Logging_2183/tillsynsmail/A 65446-2021 tillsynsbegäran mail.docx", "A 65446-2021")</f>
        <v/>
      </c>
    </row>
    <row r="414" ht="15" customHeight="1">
      <c r="A414" t="inlineStr">
        <is>
          <t>A 66495-2021</t>
        </is>
      </c>
      <c r="B414" s="1" t="n">
        <v>44519</v>
      </c>
      <c r="C414" s="1" t="n">
        <v>45578</v>
      </c>
      <c r="D414" t="inlineStr">
        <is>
          <t>GÄVLEBORGS LÄN</t>
        </is>
      </c>
      <c r="E414" t="inlineStr">
        <is>
          <t>GÄVLE</t>
        </is>
      </c>
      <c r="G414" t="n">
        <v>2</v>
      </c>
      <c r="H414" t="n">
        <v>0</v>
      </c>
      <c r="I414" t="n">
        <v>0</v>
      </c>
      <c r="J414" t="n">
        <v>1</v>
      </c>
      <c r="K414" t="n">
        <v>0</v>
      </c>
      <c r="L414" t="n">
        <v>0</v>
      </c>
      <c r="M414" t="n">
        <v>0</v>
      </c>
      <c r="N414" t="n">
        <v>0</v>
      </c>
      <c r="O414" t="n">
        <v>1</v>
      </c>
      <c r="P414" t="n">
        <v>0</v>
      </c>
      <c r="Q414" t="n">
        <v>1</v>
      </c>
      <c r="R414" s="2" t="inlineStr">
        <is>
          <t>Sumpviol</t>
        </is>
      </c>
      <c r="S414">
        <f>HYPERLINK("https://klasma.github.io/Logging_2180/artfynd/A 66495-2021 artfynd.xlsx", "A 66495-2021")</f>
        <v/>
      </c>
      <c r="T414">
        <f>HYPERLINK("https://klasma.github.io/Logging_2180/kartor/A 66495-2021 karta.png", "A 66495-2021")</f>
        <v/>
      </c>
      <c r="V414">
        <f>HYPERLINK("https://klasma.github.io/Logging_2180/klagomål/A 66495-2021 FSC-klagomål.docx", "A 66495-2021")</f>
        <v/>
      </c>
      <c r="W414">
        <f>HYPERLINK("https://klasma.github.io/Logging_2180/klagomålsmail/A 66495-2021 FSC-klagomål mail.docx", "A 66495-2021")</f>
        <v/>
      </c>
      <c r="X414">
        <f>HYPERLINK("https://klasma.github.io/Logging_2180/tillsyn/A 66495-2021 tillsynsbegäran.docx", "A 66495-2021")</f>
        <v/>
      </c>
      <c r="Y414">
        <f>HYPERLINK("https://klasma.github.io/Logging_2180/tillsynsmail/A 66495-2021 tillsynsbegäran mail.docx", "A 66495-2021")</f>
        <v/>
      </c>
    </row>
    <row r="415" ht="15" customHeight="1">
      <c r="A415" t="inlineStr">
        <is>
          <t>A 68162-2021</t>
        </is>
      </c>
      <c r="B415" s="1" t="n">
        <v>44526</v>
      </c>
      <c r="C415" s="1" t="n">
        <v>45578</v>
      </c>
      <c r="D415" t="inlineStr">
        <is>
          <t>GÄVLEBORGS LÄN</t>
        </is>
      </c>
      <c r="E415" t="inlineStr">
        <is>
          <t>HUDIKSVALL</t>
        </is>
      </c>
      <c r="G415" t="n">
        <v>1.1</v>
      </c>
      <c r="H415" t="n">
        <v>1</v>
      </c>
      <c r="I415" t="n">
        <v>0</v>
      </c>
      <c r="J415" t="n">
        <v>0</v>
      </c>
      <c r="K415" t="n">
        <v>0</v>
      </c>
      <c r="L415" t="n">
        <v>0</v>
      </c>
      <c r="M415" t="n">
        <v>0</v>
      </c>
      <c r="N415" t="n">
        <v>0</v>
      </c>
      <c r="O415" t="n">
        <v>0</v>
      </c>
      <c r="P415" t="n">
        <v>0</v>
      </c>
      <c r="Q415" t="n">
        <v>1</v>
      </c>
      <c r="R415" s="2" t="inlineStr">
        <is>
          <t>Större vattensalamander</t>
        </is>
      </c>
      <c r="S415">
        <f>HYPERLINK("https://klasma.github.io/Logging_2184/artfynd/A 68162-2021 artfynd.xlsx", "A 68162-2021")</f>
        <v/>
      </c>
      <c r="T415">
        <f>HYPERLINK("https://klasma.github.io/Logging_2184/kartor/A 68162-2021 karta.png", "A 68162-2021")</f>
        <v/>
      </c>
      <c r="V415">
        <f>HYPERLINK("https://klasma.github.io/Logging_2184/klagomål/A 68162-2021 FSC-klagomål.docx", "A 68162-2021")</f>
        <v/>
      </c>
      <c r="W415">
        <f>HYPERLINK("https://klasma.github.io/Logging_2184/klagomålsmail/A 68162-2021 FSC-klagomål mail.docx", "A 68162-2021")</f>
        <v/>
      </c>
      <c r="X415">
        <f>HYPERLINK("https://klasma.github.io/Logging_2184/tillsyn/A 68162-2021 tillsynsbegäran.docx", "A 68162-2021")</f>
        <v/>
      </c>
      <c r="Y415">
        <f>HYPERLINK("https://klasma.github.io/Logging_2184/tillsynsmail/A 68162-2021 tillsynsbegäran mail.docx", "A 68162-2021")</f>
        <v/>
      </c>
    </row>
    <row r="416" ht="15" customHeight="1">
      <c r="A416" t="inlineStr">
        <is>
          <t>A 71122-2021</t>
        </is>
      </c>
      <c r="B416" s="1" t="n">
        <v>44539</v>
      </c>
      <c r="C416" s="1" t="n">
        <v>45578</v>
      </c>
      <c r="D416" t="inlineStr">
        <is>
          <t>GÄVLEBORGS LÄN</t>
        </is>
      </c>
      <c r="E416" t="inlineStr">
        <is>
          <t>HUDIKSVALL</t>
        </is>
      </c>
      <c r="G416" t="n">
        <v>2.6</v>
      </c>
      <c r="H416" t="n">
        <v>1</v>
      </c>
      <c r="I416" t="n">
        <v>0</v>
      </c>
      <c r="J416" t="n">
        <v>0</v>
      </c>
      <c r="K416" t="n">
        <v>1</v>
      </c>
      <c r="L416" t="n">
        <v>0</v>
      </c>
      <c r="M416" t="n">
        <v>0</v>
      </c>
      <c r="N416" t="n">
        <v>0</v>
      </c>
      <c r="O416" t="n">
        <v>1</v>
      </c>
      <c r="P416" t="n">
        <v>1</v>
      </c>
      <c r="Q416" t="n">
        <v>1</v>
      </c>
      <c r="R416" s="2" t="inlineStr">
        <is>
          <t>Knärot</t>
        </is>
      </c>
      <c r="S416">
        <f>HYPERLINK("https://klasma.github.io/Logging_2184/artfynd/A 71122-2021 artfynd.xlsx", "A 71122-2021")</f>
        <v/>
      </c>
      <c r="T416">
        <f>HYPERLINK("https://klasma.github.io/Logging_2184/kartor/A 71122-2021 karta.png", "A 71122-2021")</f>
        <v/>
      </c>
      <c r="U416">
        <f>HYPERLINK("https://klasma.github.io/Logging_2184/knärot/A 71122-2021 karta knärot.png", "A 71122-2021")</f>
        <v/>
      </c>
      <c r="V416">
        <f>HYPERLINK("https://klasma.github.io/Logging_2184/klagomål/A 71122-2021 FSC-klagomål.docx", "A 71122-2021")</f>
        <v/>
      </c>
      <c r="W416">
        <f>HYPERLINK("https://klasma.github.io/Logging_2184/klagomålsmail/A 71122-2021 FSC-klagomål mail.docx", "A 71122-2021")</f>
        <v/>
      </c>
      <c r="X416">
        <f>HYPERLINK("https://klasma.github.io/Logging_2184/tillsyn/A 71122-2021 tillsynsbegäran.docx", "A 71122-2021")</f>
        <v/>
      </c>
      <c r="Y416">
        <f>HYPERLINK("https://klasma.github.io/Logging_2184/tillsynsmail/A 71122-2021 tillsynsbegäran mail.docx", "A 71122-2021")</f>
        <v/>
      </c>
    </row>
    <row r="417" ht="15" customHeight="1">
      <c r="A417" t="inlineStr">
        <is>
          <t>A 74349-2021</t>
        </is>
      </c>
      <c r="B417" s="1" t="n">
        <v>44559</v>
      </c>
      <c r="C417" s="1" t="n">
        <v>45578</v>
      </c>
      <c r="D417" t="inlineStr">
        <is>
          <t>GÄVLEBORGS LÄN</t>
        </is>
      </c>
      <c r="E417" t="inlineStr">
        <is>
          <t>HOFORS</t>
        </is>
      </c>
      <c r="G417" t="n">
        <v>1.3</v>
      </c>
      <c r="H417" t="n">
        <v>0</v>
      </c>
      <c r="I417" t="n">
        <v>0</v>
      </c>
      <c r="J417" t="n">
        <v>1</v>
      </c>
      <c r="K417" t="n">
        <v>0</v>
      </c>
      <c r="L417" t="n">
        <v>0</v>
      </c>
      <c r="M417" t="n">
        <v>0</v>
      </c>
      <c r="N417" t="n">
        <v>0</v>
      </c>
      <c r="O417" t="n">
        <v>1</v>
      </c>
      <c r="P417" t="n">
        <v>0</v>
      </c>
      <c r="Q417" t="n">
        <v>1</v>
      </c>
      <c r="R417" s="2" t="inlineStr">
        <is>
          <t>Brunklöver</t>
        </is>
      </c>
      <c r="S417">
        <f>HYPERLINK("https://klasma.github.io/Logging_2104/artfynd/A 74349-2021 artfynd.xlsx", "A 74349-2021")</f>
        <v/>
      </c>
      <c r="T417">
        <f>HYPERLINK("https://klasma.github.io/Logging_2104/kartor/A 74349-2021 karta.png", "A 74349-2021")</f>
        <v/>
      </c>
      <c r="V417">
        <f>HYPERLINK("https://klasma.github.io/Logging_2104/klagomål/A 74349-2021 FSC-klagomål.docx", "A 74349-2021")</f>
        <v/>
      </c>
      <c r="W417">
        <f>HYPERLINK("https://klasma.github.io/Logging_2104/klagomålsmail/A 74349-2021 FSC-klagomål mail.docx", "A 74349-2021")</f>
        <v/>
      </c>
      <c r="X417">
        <f>HYPERLINK("https://klasma.github.io/Logging_2104/tillsyn/A 74349-2021 tillsynsbegäran.docx", "A 74349-2021")</f>
        <v/>
      </c>
      <c r="Y417">
        <f>HYPERLINK("https://klasma.github.io/Logging_2104/tillsynsmail/A 74349-2021 tillsynsbegäran mail.docx", "A 74349-2021")</f>
        <v/>
      </c>
    </row>
    <row r="418" ht="15" customHeight="1">
      <c r="A418" t="inlineStr">
        <is>
          <t>A 6779-2022</t>
        </is>
      </c>
      <c r="B418" s="1" t="n">
        <v>44602</v>
      </c>
      <c r="C418" s="1" t="n">
        <v>45578</v>
      </c>
      <c r="D418" t="inlineStr">
        <is>
          <t>GÄVLEBORGS LÄN</t>
        </is>
      </c>
      <c r="E418" t="inlineStr">
        <is>
          <t>GÄVLE</t>
        </is>
      </c>
      <c r="F418" t="inlineStr">
        <is>
          <t>Bergvik skog öst AB</t>
        </is>
      </c>
      <c r="G418" t="n">
        <v>2.8</v>
      </c>
      <c r="H418" t="n">
        <v>0</v>
      </c>
      <c r="I418" t="n">
        <v>0</v>
      </c>
      <c r="J418" t="n">
        <v>1</v>
      </c>
      <c r="K418" t="n">
        <v>0</v>
      </c>
      <c r="L418" t="n">
        <v>0</v>
      </c>
      <c r="M418" t="n">
        <v>0</v>
      </c>
      <c r="N418" t="n">
        <v>0</v>
      </c>
      <c r="O418" t="n">
        <v>1</v>
      </c>
      <c r="P418" t="n">
        <v>0</v>
      </c>
      <c r="Q418" t="n">
        <v>1</v>
      </c>
      <c r="R418" s="2" t="inlineStr">
        <is>
          <t>Skogsklocka</t>
        </is>
      </c>
      <c r="S418">
        <f>HYPERLINK("https://klasma.github.io/Logging_2180/artfynd/A 6779-2022 artfynd.xlsx", "A 6779-2022")</f>
        <v/>
      </c>
      <c r="T418">
        <f>HYPERLINK("https://klasma.github.io/Logging_2180/kartor/A 6779-2022 karta.png", "A 6779-2022")</f>
        <v/>
      </c>
      <c r="V418">
        <f>HYPERLINK("https://klasma.github.io/Logging_2180/klagomål/A 6779-2022 FSC-klagomål.docx", "A 6779-2022")</f>
        <v/>
      </c>
      <c r="W418">
        <f>HYPERLINK("https://klasma.github.io/Logging_2180/klagomålsmail/A 6779-2022 FSC-klagomål mail.docx", "A 6779-2022")</f>
        <v/>
      </c>
      <c r="X418">
        <f>HYPERLINK("https://klasma.github.io/Logging_2180/tillsyn/A 6779-2022 tillsynsbegäran.docx", "A 6779-2022")</f>
        <v/>
      </c>
      <c r="Y418">
        <f>HYPERLINK("https://klasma.github.io/Logging_2180/tillsynsmail/A 6779-2022 tillsynsbegäran mail.docx", "A 6779-2022")</f>
        <v/>
      </c>
    </row>
    <row r="419" ht="15" customHeight="1">
      <c r="A419" t="inlineStr">
        <is>
          <t>A 6942-2022</t>
        </is>
      </c>
      <c r="B419" s="1" t="n">
        <v>44603</v>
      </c>
      <c r="C419" s="1" t="n">
        <v>45578</v>
      </c>
      <c r="D419" t="inlineStr">
        <is>
          <t>GÄVLEBORGS LÄN</t>
        </is>
      </c>
      <c r="E419" t="inlineStr">
        <is>
          <t>SANDVIKEN</t>
        </is>
      </c>
      <c r="G419" t="n">
        <v>1.3</v>
      </c>
      <c r="H419" t="n">
        <v>1</v>
      </c>
      <c r="I419" t="n">
        <v>0</v>
      </c>
      <c r="J419" t="n">
        <v>0</v>
      </c>
      <c r="K419" t="n">
        <v>0</v>
      </c>
      <c r="L419" t="n">
        <v>0</v>
      </c>
      <c r="M419" t="n">
        <v>0</v>
      </c>
      <c r="N419" t="n">
        <v>0</v>
      </c>
      <c r="O419" t="n">
        <v>0</v>
      </c>
      <c r="P419" t="n">
        <v>0</v>
      </c>
      <c r="Q419" t="n">
        <v>1</v>
      </c>
      <c r="R419" s="2" t="inlineStr">
        <is>
          <t>Törnskata</t>
        </is>
      </c>
      <c r="S419">
        <f>HYPERLINK("https://klasma.github.io/Logging_2181/artfynd/A 6942-2022 artfynd.xlsx", "A 6942-2022")</f>
        <v/>
      </c>
      <c r="T419">
        <f>HYPERLINK("https://klasma.github.io/Logging_2181/kartor/A 6942-2022 karta.png", "A 6942-2022")</f>
        <v/>
      </c>
      <c r="V419">
        <f>HYPERLINK("https://klasma.github.io/Logging_2181/klagomål/A 6942-2022 FSC-klagomål.docx", "A 6942-2022")</f>
        <v/>
      </c>
      <c r="W419">
        <f>HYPERLINK("https://klasma.github.io/Logging_2181/klagomålsmail/A 6942-2022 FSC-klagomål mail.docx", "A 6942-2022")</f>
        <v/>
      </c>
      <c r="X419">
        <f>HYPERLINK("https://klasma.github.io/Logging_2181/tillsyn/A 6942-2022 tillsynsbegäran.docx", "A 6942-2022")</f>
        <v/>
      </c>
      <c r="Y419">
        <f>HYPERLINK("https://klasma.github.io/Logging_2181/tillsynsmail/A 6942-2022 tillsynsbegäran mail.docx", "A 6942-2022")</f>
        <v/>
      </c>
      <c r="Z419">
        <f>HYPERLINK("https://klasma.github.io/Logging_2181/fåglar/A 6942-2022 prioriterade fågelarter.docx", "A 6942-2022")</f>
        <v/>
      </c>
    </row>
    <row r="420" ht="15" customHeight="1">
      <c r="A420" t="inlineStr">
        <is>
          <t>A 15102-2022</t>
        </is>
      </c>
      <c r="B420" s="1" t="n">
        <v>44658</v>
      </c>
      <c r="C420" s="1" t="n">
        <v>45578</v>
      </c>
      <c r="D420" t="inlineStr">
        <is>
          <t>GÄVLEBORGS LÄN</t>
        </is>
      </c>
      <c r="E420" t="inlineStr">
        <is>
          <t>GÄVLE</t>
        </is>
      </c>
      <c r="F420" t="inlineStr">
        <is>
          <t>Bergvik skog öst AB</t>
        </is>
      </c>
      <c r="G420" t="n">
        <v>4.5</v>
      </c>
      <c r="H420" t="n">
        <v>0</v>
      </c>
      <c r="I420" t="n">
        <v>0</v>
      </c>
      <c r="J420" t="n">
        <v>1</v>
      </c>
      <c r="K420" t="n">
        <v>0</v>
      </c>
      <c r="L420" t="n">
        <v>0</v>
      </c>
      <c r="M420" t="n">
        <v>0</v>
      </c>
      <c r="N420" t="n">
        <v>0</v>
      </c>
      <c r="O420" t="n">
        <v>1</v>
      </c>
      <c r="P420" t="n">
        <v>0</v>
      </c>
      <c r="Q420" t="n">
        <v>1</v>
      </c>
      <c r="R420" s="2" t="inlineStr">
        <is>
          <t>Sumpviol</t>
        </is>
      </c>
      <c r="S420">
        <f>HYPERLINK("https://klasma.github.io/Logging_2180/artfynd/A 15102-2022 artfynd.xlsx", "A 15102-2022")</f>
        <v/>
      </c>
      <c r="T420">
        <f>HYPERLINK("https://klasma.github.io/Logging_2180/kartor/A 15102-2022 karta.png", "A 15102-2022")</f>
        <v/>
      </c>
      <c r="V420">
        <f>HYPERLINK("https://klasma.github.io/Logging_2180/klagomål/A 15102-2022 FSC-klagomål.docx", "A 15102-2022")</f>
        <v/>
      </c>
      <c r="W420">
        <f>HYPERLINK("https://klasma.github.io/Logging_2180/klagomålsmail/A 15102-2022 FSC-klagomål mail.docx", "A 15102-2022")</f>
        <v/>
      </c>
      <c r="X420">
        <f>HYPERLINK("https://klasma.github.io/Logging_2180/tillsyn/A 15102-2022 tillsynsbegäran.docx", "A 15102-2022")</f>
        <v/>
      </c>
      <c r="Y420">
        <f>HYPERLINK("https://klasma.github.io/Logging_2180/tillsynsmail/A 15102-2022 tillsynsbegäran mail.docx", "A 15102-2022")</f>
        <v/>
      </c>
    </row>
    <row r="421" ht="15" customHeight="1">
      <c r="A421" t="inlineStr">
        <is>
          <t>A 15470-2022</t>
        </is>
      </c>
      <c r="B421" s="1" t="n">
        <v>44662</v>
      </c>
      <c r="C421" s="1" t="n">
        <v>45578</v>
      </c>
      <c r="D421" t="inlineStr">
        <is>
          <t>GÄVLEBORGS LÄN</t>
        </is>
      </c>
      <c r="E421" t="inlineStr">
        <is>
          <t>LJUSDAL</t>
        </is>
      </c>
      <c r="F421" t="inlineStr">
        <is>
          <t>Kyrkan</t>
        </is>
      </c>
      <c r="G421" t="n">
        <v>35</v>
      </c>
      <c r="H421" t="n">
        <v>1</v>
      </c>
      <c r="I421" t="n">
        <v>0</v>
      </c>
      <c r="J421" t="n">
        <v>0</v>
      </c>
      <c r="K421" t="n">
        <v>1</v>
      </c>
      <c r="L421" t="n">
        <v>0</v>
      </c>
      <c r="M421" t="n">
        <v>0</v>
      </c>
      <c r="N421" t="n">
        <v>0</v>
      </c>
      <c r="O421" t="n">
        <v>1</v>
      </c>
      <c r="P421" t="n">
        <v>1</v>
      </c>
      <c r="Q421" t="n">
        <v>1</v>
      </c>
      <c r="R421" s="2" t="inlineStr">
        <is>
          <t>Knärot</t>
        </is>
      </c>
      <c r="S421">
        <f>HYPERLINK("https://klasma.github.io/Logging_2161/artfynd/A 15470-2022 artfynd.xlsx", "A 15470-2022")</f>
        <v/>
      </c>
      <c r="T421">
        <f>HYPERLINK("https://klasma.github.io/Logging_2161/kartor/A 15470-2022 karta.png", "A 15470-2022")</f>
        <v/>
      </c>
      <c r="U421">
        <f>HYPERLINK("https://klasma.github.io/Logging_2161/knärot/A 15470-2022 karta knärot.png", "A 15470-2022")</f>
        <v/>
      </c>
      <c r="V421">
        <f>HYPERLINK("https://klasma.github.io/Logging_2161/klagomål/A 15470-2022 FSC-klagomål.docx", "A 15470-2022")</f>
        <v/>
      </c>
      <c r="W421">
        <f>HYPERLINK("https://klasma.github.io/Logging_2161/klagomålsmail/A 15470-2022 FSC-klagomål mail.docx", "A 15470-2022")</f>
        <v/>
      </c>
      <c r="X421">
        <f>HYPERLINK("https://klasma.github.io/Logging_2161/tillsyn/A 15470-2022 tillsynsbegäran.docx", "A 15470-2022")</f>
        <v/>
      </c>
      <c r="Y421">
        <f>HYPERLINK("https://klasma.github.io/Logging_2161/tillsynsmail/A 15470-2022 tillsynsbegäran mail.docx", "A 15470-2022")</f>
        <v/>
      </c>
    </row>
    <row r="422" ht="15" customHeight="1">
      <c r="A422" t="inlineStr">
        <is>
          <t>A 15729-2022</t>
        </is>
      </c>
      <c r="B422" s="1" t="n">
        <v>44663</v>
      </c>
      <c r="C422" s="1" t="n">
        <v>45578</v>
      </c>
      <c r="D422" t="inlineStr">
        <is>
          <t>GÄVLEBORGS LÄN</t>
        </is>
      </c>
      <c r="E422" t="inlineStr">
        <is>
          <t>SANDVIKEN</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HYPERLINK("https://klasma.github.io/Logging_2181/artfynd/A 15729-2022 artfynd.xlsx", "A 15729-2022")</f>
        <v/>
      </c>
      <c r="T422">
        <f>HYPERLINK("https://klasma.github.io/Logging_2181/kartor/A 15729-2022 karta.png", "A 15729-2022")</f>
        <v/>
      </c>
      <c r="U422">
        <f>HYPERLINK("https://klasma.github.io/Logging_2181/knärot/A 15729-2022 karta knärot.png", "A 15729-2022")</f>
        <v/>
      </c>
      <c r="V422">
        <f>HYPERLINK("https://klasma.github.io/Logging_2181/klagomål/A 15729-2022 FSC-klagomål.docx", "A 15729-2022")</f>
        <v/>
      </c>
      <c r="W422">
        <f>HYPERLINK("https://klasma.github.io/Logging_2181/klagomålsmail/A 15729-2022 FSC-klagomål mail.docx", "A 15729-2022")</f>
        <v/>
      </c>
      <c r="X422">
        <f>HYPERLINK("https://klasma.github.io/Logging_2181/tillsyn/A 15729-2022 tillsynsbegäran.docx", "A 15729-2022")</f>
        <v/>
      </c>
      <c r="Y422">
        <f>HYPERLINK("https://klasma.github.io/Logging_2181/tillsynsmail/A 15729-2022 tillsynsbegäran mail.docx", "A 15729-2022")</f>
        <v/>
      </c>
    </row>
    <row r="423" ht="15" customHeight="1">
      <c r="A423" t="inlineStr">
        <is>
          <t>A 16809-2022</t>
        </is>
      </c>
      <c r="B423" s="1" t="n">
        <v>44673</v>
      </c>
      <c r="C423" s="1" t="n">
        <v>45578</v>
      </c>
      <c r="D423" t="inlineStr">
        <is>
          <t>GÄVLEBORGS LÄN</t>
        </is>
      </c>
      <c r="E423" t="inlineStr">
        <is>
          <t>NORDANSTIG</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HYPERLINK("https://klasma.github.io/Logging_2132/artfynd/A 16809-2022 artfynd.xlsx", "A 16809-2022")</f>
        <v/>
      </c>
      <c r="T423">
        <f>HYPERLINK("https://klasma.github.io/Logging_2132/kartor/A 16809-2022 karta.png", "A 16809-2022")</f>
        <v/>
      </c>
      <c r="V423">
        <f>HYPERLINK("https://klasma.github.io/Logging_2132/klagomål/A 16809-2022 FSC-klagomål.docx", "A 16809-2022")</f>
        <v/>
      </c>
      <c r="W423">
        <f>HYPERLINK("https://klasma.github.io/Logging_2132/klagomålsmail/A 16809-2022 FSC-klagomål mail.docx", "A 16809-2022")</f>
        <v/>
      </c>
      <c r="X423">
        <f>HYPERLINK("https://klasma.github.io/Logging_2132/tillsyn/A 16809-2022 tillsynsbegäran.docx", "A 16809-2022")</f>
        <v/>
      </c>
      <c r="Y423">
        <f>HYPERLINK("https://klasma.github.io/Logging_2132/tillsynsmail/A 16809-2022 tillsynsbegäran mail.docx", "A 16809-2022")</f>
        <v/>
      </c>
    </row>
    <row r="424" ht="15" customHeight="1">
      <c r="A424" t="inlineStr">
        <is>
          <t>A 17382-2022</t>
        </is>
      </c>
      <c r="B424" s="1" t="n">
        <v>44678</v>
      </c>
      <c r="C424" s="1" t="n">
        <v>45578</v>
      </c>
      <c r="D424" t="inlineStr">
        <is>
          <t>GÄVLEBORGS LÄN</t>
        </is>
      </c>
      <c r="E424" t="inlineStr">
        <is>
          <t>HUDIKSVALL</t>
        </is>
      </c>
      <c r="G424" t="n">
        <v>9.300000000000001</v>
      </c>
      <c r="H424" t="n">
        <v>0</v>
      </c>
      <c r="I424" t="n">
        <v>0</v>
      </c>
      <c r="J424" t="n">
        <v>1</v>
      </c>
      <c r="K424" t="n">
        <v>0</v>
      </c>
      <c r="L424" t="n">
        <v>0</v>
      </c>
      <c r="M424" t="n">
        <v>0</v>
      </c>
      <c r="N424" t="n">
        <v>0</v>
      </c>
      <c r="O424" t="n">
        <v>1</v>
      </c>
      <c r="P424" t="n">
        <v>0</v>
      </c>
      <c r="Q424" t="n">
        <v>1</v>
      </c>
      <c r="R424" s="2" t="inlineStr">
        <is>
          <t>Månlåsbräken</t>
        </is>
      </c>
      <c r="S424">
        <f>HYPERLINK("https://klasma.github.io/Logging_2184/artfynd/A 17382-2022 artfynd.xlsx", "A 17382-2022")</f>
        <v/>
      </c>
      <c r="T424">
        <f>HYPERLINK("https://klasma.github.io/Logging_2184/kartor/A 17382-2022 karta.png", "A 17382-2022")</f>
        <v/>
      </c>
      <c r="V424">
        <f>HYPERLINK("https://klasma.github.io/Logging_2184/klagomål/A 17382-2022 FSC-klagomål.docx", "A 17382-2022")</f>
        <v/>
      </c>
      <c r="W424">
        <f>HYPERLINK("https://klasma.github.io/Logging_2184/klagomålsmail/A 17382-2022 FSC-klagomål mail.docx", "A 17382-2022")</f>
        <v/>
      </c>
      <c r="X424">
        <f>HYPERLINK("https://klasma.github.io/Logging_2184/tillsyn/A 17382-2022 tillsynsbegäran.docx", "A 17382-2022")</f>
        <v/>
      </c>
      <c r="Y424">
        <f>HYPERLINK("https://klasma.github.io/Logging_2184/tillsynsmail/A 17382-2022 tillsynsbegäran mail.docx", "A 17382-2022")</f>
        <v/>
      </c>
    </row>
    <row r="425" ht="15" customHeight="1">
      <c r="A425" t="inlineStr">
        <is>
          <t>A 18058-2022</t>
        </is>
      </c>
      <c r="B425" s="1" t="n">
        <v>44684</v>
      </c>
      <c r="C425" s="1" t="n">
        <v>45578</v>
      </c>
      <c r="D425" t="inlineStr">
        <is>
          <t>GÄVLEBORGS LÄN</t>
        </is>
      </c>
      <c r="E425" t="inlineStr">
        <is>
          <t>LJUSDAL</t>
        </is>
      </c>
      <c r="F425" t="inlineStr">
        <is>
          <t>Sveaskog</t>
        </is>
      </c>
      <c r="G425" t="n">
        <v>8.5</v>
      </c>
      <c r="H425" t="n">
        <v>0</v>
      </c>
      <c r="I425" t="n">
        <v>0</v>
      </c>
      <c r="J425" t="n">
        <v>1</v>
      </c>
      <c r="K425" t="n">
        <v>0</v>
      </c>
      <c r="L425" t="n">
        <v>0</v>
      </c>
      <c r="M425" t="n">
        <v>0</v>
      </c>
      <c r="N425" t="n">
        <v>0</v>
      </c>
      <c r="O425" t="n">
        <v>1</v>
      </c>
      <c r="P425" t="n">
        <v>0</v>
      </c>
      <c r="Q425" t="n">
        <v>1</v>
      </c>
      <c r="R425" s="2" t="inlineStr">
        <is>
          <t>Lunglav</t>
        </is>
      </c>
      <c r="S425">
        <f>HYPERLINK("https://klasma.github.io/Logging_2161/artfynd/A 18058-2022 artfynd.xlsx", "A 18058-2022")</f>
        <v/>
      </c>
      <c r="T425">
        <f>HYPERLINK("https://klasma.github.io/Logging_2161/kartor/A 18058-2022 karta.png", "A 18058-2022")</f>
        <v/>
      </c>
      <c r="V425">
        <f>HYPERLINK("https://klasma.github.io/Logging_2161/klagomål/A 18058-2022 FSC-klagomål.docx", "A 18058-2022")</f>
        <v/>
      </c>
      <c r="W425">
        <f>HYPERLINK("https://klasma.github.io/Logging_2161/klagomålsmail/A 18058-2022 FSC-klagomål mail.docx", "A 18058-2022")</f>
        <v/>
      </c>
      <c r="X425">
        <f>HYPERLINK("https://klasma.github.io/Logging_2161/tillsyn/A 18058-2022 tillsynsbegäran.docx", "A 18058-2022")</f>
        <v/>
      </c>
      <c r="Y425">
        <f>HYPERLINK("https://klasma.github.io/Logging_2161/tillsynsmail/A 18058-2022 tillsynsbegäran mail.docx", "A 18058-2022")</f>
        <v/>
      </c>
    </row>
    <row r="426" ht="15" customHeight="1">
      <c r="A426" t="inlineStr">
        <is>
          <t>A 20211-2022</t>
        </is>
      </c>
      <c r="B426" s="1" t="n">
        <v>44698</v>
      </c>
      <c r="C426" s="1" t="n">
        <v>45578</v>
      </c>
      <c r="D426" t="inlineStr">
        <is>
          <t>GÄVLEBORGS LÄN</t>
        </is>
      </c>
      <c r="E426" t="inlineStr">
        <is>
          <t>LJUSDAL</t>
        </is>
      </c>
      <c r="F426" t="inlineStr">
        <is>
          <t>Sveaskog</t>
        </is>
      </c>
      <c r="G426" t="n">
        <v>4.4</v>
      </c>
      <c r="H426" t="n">
        <v>0</v>
      </c>
      <c r="I426" t="n">
        <v>1</v>
      </c>
      <c r="J426" t="n">
        <v>0</v>
      </c>
      <c r="K426" t="n">
        <v>0</v>
      </c>
      <c r="L426" t="n">
        <v>0</v>
      </c>
      <c r="M426" t="n">
        <v>0</v>
      </c>
      <c r="N426" t="n">
        <v>0</v>
      </c>
      <c r="O426" t="n">
        <v>0</v>
      </c>
      <c r="P426" t="n">
        <v>0</v>
      </c>
      <c r="Q426" t="n">
        <v>1</v>
      </c>
      <c r="R426" s="2" t="inlineStr">
        <is>
          <t>Dropptaggsvamp</t>
        </is>
      </c>
      <c r="S426">
        <f>HYPERLINK("https://klasma.github.io/Logging_2161/artfynd/A 20211-2022 artfynd.xlsx", "A 20211-2022")</f>
        <v/>
      </c>
      <c r="T426">
        <f>HYPERLINK("https://klasma.github.io/Logging_2161/kartor/A 20211-2022 karta.png", "A 20211-2022")</f>
        <v/>
      </c>
      <c r="V426">
        <f>HYPERLINK("https://klasma.github.io/Logging_2161/klagomål/A 20211-2022 FSC-klagomål.docx", "A 20211-2022")</f>
        <v/>
      </c>
      <c r="W426">
        <f>HYPERLINK("https://klasma.github.io/Logging_2161/klagomålsmail/A 20211-2022 FSC-klagomål mail.docx", "A 20211-2022")</f>
        <v/>
      </c>
      <c r="X426">
        <f>HYPERLINK("https://klasma.github.io/Logging_2161/tillsyn/A 20211-2022 tillsynsbegäran.docx", "A 20211-2022")</f>
        <v/>
      </c>
      <c r="Y426">
        <f>HYPERLINK("https://klasma.github.io/Logging_2161/tillsynsmail/A 20211-2022 tillsynsbegäran mail.docx", "A 20211-2022")</f>
        <v/>
      </c>
    </row>
    <row r="427" ht="15" customHeight="1">
      <c r="A427" t="inlineStr">
        <is>
          <t>A 20782-2022</t>
        </is>
      </c>
      <c r="B427" s="1" t="n">
        <v>44701</v>
      </c>
      <c r="C427" s="1" t="n">
        <v>45578</v>
      </c>
      <c r="D427" t="inlineStr">
        <is>
          <t>GÄVLEBORGS LÄN</t>
        </is>
      </c>
      <c r="E427" t="inlineStr">
        <is>
          <t>NORDANSTIG</t>
        </is>
      </c>
      <c r="F427" t="inlineStr">
        <is>
          <t>Holmen skog AB</t>
        </is>
      </c>
      <c r="G427" t="n">
        <v>4.5</v>
      </c>
      <c r="H427" t="n">
        <v>1</v>
      </c>
      <c r="I427" t="n">
        <v>0</v>
      </c>
      <c r="J427" t="n">
        <v>0</v>
      </c>
      <c r="K427" t="n">
        <v>1</v>
      </c>
      <c r="L427" t="n">
        <v>0</v>
      </c>
      <c r="M427" t="n">
        <v>0</v>
      </c>
      <c r="N427" t="n">
        <v>0</v>
      </c>
      <c r="O427" t="n">
        <v>1</v>
      </c>
      <c r="P427" t="n">
        <v>1</v>
      </c>
      <c r="Q427" t="n">
        <v>1</v>
      </c>
      <c r="R427" s="2" t="inlineStr">
        <is>
          <t>Knärot</t>
        </is>
      </c>
      <c r="S427">
        <f>HYPERLINK("https://klasma.github.io/Logging_2132/artfynd/A 20782-2022 artfynd.xlsx", "A 20782-2022")</f>
        <v/>
      </c>
      <c r="T427">
        <f>HYPERLINK("https://klasma.github.io/Logging_2132/kartor/A 20782-2022 karta.png", "A 20782-2022")</f>
        <v/>
      </c>
      <c r="U427">
        <f>HYPERLINK("https://klasma.github.io/Logging_2132/knärot/A 20782-2022 karta knärot.png", "A 20782-2022")</f>
        <v/>
      </c>
      <c r="V427">
        <f>HYPERLINK("https://klasma.github.io/Logging_2132/klagomål/A 20782-2022 FSC-klagomål.docx", "A 20782-2022")</f>
        <v/>
      </c>
      <c r="W427">
        <f>HYPERLINK("https://klasma.github.io/Logging_2132/klagomålsmail/A 20782-2022 FSC-klagomål mail.docx", "A 20782-2022")</f>
        <v/>
      </c>
      <c r="X427">
        <f>HYPERLINK("https://klasma.github.io/Logging_2132/tillsyn/A 20782-2022 tillsynsbegäran.docx", "A 20782-2022")</f>
        <v/>
      </c>
      <c r="Y427">
        <f>HYPERLINK("https://klasma.github.io/Logging_2132/tillsynsmail/A 20782-2022 tillsynsbegäran mail.docx", "A 20782-2022")</f>
        <v/>
      </c>
    </row>
    <row r="428" ht="15" customHeight="1">
      <c r="A428" t="inlineStr">
        <is>
          <t>A 21786-2022</t>
        </is>
      </c>
      <c r="B428" s="1" t="n">
        <v>44708</v>
      </c>
      <c r="C428" s="1" t="n">
        <v>45578</v>
      </c>
      <c r="D428" t="inlineStr">
        <is>
          <t>GÄVLEBORGS LÄN</t>
        </is>
      </c>
      <c r="E428" t="inlineStr">
        <is>
          <t>LJUSDAL</t>
        </is>
      </c>
      <c r="F428" t="inlineStr">
        <is>
          <t>Holmen skog AB</t>
        </is>
      </c>
      <c r="G428" t="n">
        <v>1</v>
      </c>
      <c r="H428" t="n">
        <v>0</v>
      </c>
      <c r="I428" t="n">
        <v>1</v>
      </c>
      <c r="J428" t="n">
        <v>0</v>
      </c>
      <c r="K428" t="n">
        <v>0</v>
      </c>
      <c r="L428" t="n">
        <v>0</v>
      </c>
      <c r="M428" t="n">
        <v>0</v>
      </c>
      <c r="N428" t="n">
        <v>0</v>
      </c>
      <c r="O428" t="n">
        <v>0</v>
      </c>
      <c r="P428" t="n">
        <v>0</v>
      </c>
      <c r="Q428" t="n">
        <v>1</v>
      </c>
      <c r="R428" s="2" t="inlineStr">
        <is>
          <t>Vågbandad barkbock</t>
        </is>
      </c>
      <c r="S428">
        <f>HYPERLINK("https://klasma.github.io/Logging_2161/artfynd/A 21786-2022 artfynd.xlsx", "A 21786-2022")</f>
        <v/>
      </c>
      <c r="T428">
        <f>HYPERLINK("https://klasma.github.io/Logging_2161/kartor/A 21786-2022 karta.png", "A 21786-2022")</f>
        <v/>
      </c>
      <c r="V428">
        <f>HYPERLINK("https://klasma.github.io/Logging_2161/klagomål/A 21786-2022 FSC-klagomål.docx", "A 21786-2022")</f>
        <v/>
      </c>
      <c r="W428">
        <f>HYPERLINK("https://klasma.github.io/Logging_2161/klagomålsmail/A 21786-2022 FSC-klagomål mail.docx", "A 21786-2022")</f>
        <v/>
      </c>
      <c r="X428">
        <f>HYPERLINK("https://klasma.github.io/Logging_2161/tillsyn/A 21786-2022 tillsynsbegäran.docx", "A 21786-2022")</f>
        <v/>
      </c>
      <c r="Y428">
        <f>HYPERLINK("https://klasma.github.io/Logging_2161/tillsynsmail/A 21786-2022 tillsynsbegäran mail.docx", "A 21786-2022")</f>
        <v/>
      </c>
    </row>
    <row r="429" ht="15" customHeight="1">
      <c r="A429" t="inlineStr">
        <is>
          <t>A 22731-2022</t>
        </is>
      </c>
      <c r="B429" s="1" t="n">
        <v>44714</v>
      </c>
      <c r="C429" s="1" t="n">
        <v>45578</v>
      </c>
      <c r="D429" t="inlineStr">
        <is>
          <t>GÄVLEBORGS LÄN</t>
        </is>
      </c>
      <c r="E429" t="inlineStr">
        <is>
          <t>BOLLNÄS</t>
        </is>
      </c>
      <c r="G429" t="n">
        <v>3.1</v>
      </c>
      <c r="H429" t="n">
        <v>0</v>
      </c>
      <c r="I429" t="n">
        <v>0</v>
      </c>
      <c r="J429" t="n">
        <v>1</v>
      </c>
      <c r="K429" t="n">
        <v>0</v>
      </c>
      <c r="L429" t="n">
        <v>0</v>
      </c>
      <c r="M429" t="n">
        <v>0</v>
      </c>
      <c r="N429" t="n">
        <v>0</v>
      </c>
      <c r="O429" t="n">
        <v>1</v>
      </c>
      <c r="P429" t="n">
        <v>0</v>
      </c>
      <c r="Q429" t="n">
        <v>1</v>
      </c>
      <c r="R429" s="2" t="inlineStr">
        <is>
          <t>Brunklöver</t>
        </is>
      </c>
      <c r="S429">
        <f>HYPERLINK("https://klasma.github.io/Logging_2183/artfynd/A 22731-2022 artfynd.xlsx", "A 22731-2022")</f>
        <v/>
      </c>
      <c r="T429">
        <f>HYPERLINK("https://klasma.github.io/Logging_2183/kartor/A 22731-2022 karta.png", "A 22731-2022")</f>
        <v/>
      </c>
      <c r="V429">
        <f>HYPERLINK("https://klasma.github.io/Logging_2183/klagomål/A 22731-2022 FSC-klagomål.docx", "A 22731-2022")</f>
        <v/>
      </c>
      <c r="W429">
        <f>HYPERLINK("https://klasma.github.io/Logging_2183/klagomålsmail/A 22731-2022 FSC-klagomål mail.docx", "A 22731-2022")</f>
        <v/>
      </c>
      <c r="X429">
        <f>HYPERLINK("https://klasma.github.io/Logging_2183/tillsyn/A 22731-2022 tillsynsbegäran.docx", "A 22731-2022")</f>
        <v/>
      </c>
      <c r="Y429">
        <f>HYPERLINK("https://klasma.github.io/Logging_2183/tillsynsmail/A 22731-2022 tillsynsbegäran mail.docx", "A 22731-2022")</f>
        <v/>
      </c>
    </row>
    <row r="430" ht="15" customHeight="1">
      <c r="A430" t="inlineStr">
        <is>
          <t>A 23511-2022</t>
        </is>
      </c>
      <c r="B430" s="1" t="n">
        <v>44721</v>
      </c>
      <c r="C430" s="1" t="n">
        <v>45578</v>
      </c>
      <c r="D430" t="inlineStr">
        <is>
          <t>GÄVLEBORGS LÄN</t>
        </is>
      </c>
      <c r="E430" t="inlineStr">
        <is>
          <t>GÄVLE</t>
        </is>
      </c>
      <c r="F430" t="inlineStr">
        <is>
          <t>Bergvik skog väst AB</t>
        </is>
      </c>
      <c r="G430" t="n">
        <v>7.9</v>
      </c>
      <c r="H430" t="n">
        <v>0</v>
      </c>
      <c r="I430" t="n">
        <v>0</v>
      </c>
      <c r="J430" t="n">
        <v>1</v>
      </c>
      <c r="K430" t="n">
        <v>0</v>
      </c>
      <c r="L430" t="n">
        <v>0</v>
      </c>
      <c r="M430" t="n">
        <v>0</v>
      </c>
      <c r="N430" t="n">
        <v>0</v>
      </c>
      <c r="O430" t="n">
        <v>1</v>
      </c>
      <c r="P430" t="n">
        <v>0</v>
      </c>
      <c r="Q430" t="n">
        <v>1</v>
      </c>
      <c r="R430" s="2" t="inlineStr">
        <is>
          <t>Grantaggsvamp</t>
        </is>
      </c>
      <c r="S430">
        <f>HYPERLINK("https://klasma.github.io/Logging_2180/artfynd/A 23511-2022 artfynd.xlsx", "A 23511-2022")</f>
        <v/>
      </c>
      <c r="T430">
        <f>HYPERLINK("https://klasma.github.io/Logging_2180/kartor/A 23511-2022 karta.png", "A 23511-2022")</f>
        <v/>
      </c>
      <c r="V430">
        <f>HYPERLINK("https://klasma.github.io/Logging_2180/klagomål/A 23511-2022 FSC-klagomål.docx", "A 23511-2022")</f>
        <v/>
      </c>
      <c r="W430">
        <f>HYPERLINK("https://klasma.github.io/Logging_2180/klagomålsmail/A 23511-2022 FSC-klagomål mail.docx", "A 23511-2022")</f>
        <v/>
      </c>
      <c r="X430">
        <f>HYPERLINK("https://klasma.github.io/Logging_2180/tillsyn/A 23511-2022 tillsynsbegäran.docx", "A 23511-2022")</f>
        <v/>
      </c>
      <c r="Y430">
        <f>HYPERLINK("https://klasma.github.io/Logging_2180/tillsynsmail/A 23511-2022 tillsynsbegäran mail.docx", "A 23511-2022")</f>
        <v/>
      </c>
    </row>
    <row r="431" ht="15" customHeight="1">
      <c r="A431" t="inlineStr">
        <is>
          <t>A 23857-2022</t>
        </is>
      </c>
      <c r="B431" s="1" t="n">
        <v>44722</v>
      </c>
      <c r="C431" s="1" t="n">
        <v>45578</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24451-2022</t>
        </is>
      </c>
      <c r="B432" s="1" t="n">
        <v>44726</v>
      </c>
      <c r="C432" s="1" t="n">
        <v>45578</v>
      </c>
      <c r="D432" t="inlineStr">
        <is>
          <t>GÄVLEBORGS LÄN</t>
        </is>
      </c>
      <c r="E432" t="inlineStr">
        <is>
          <t>HUDIKSVALL</t>
        </is>
      </c>
      <c r="F432" t="inlineStr">
        <is>
          <t>Holmen skog AB</t>
        </is>
      </c>
      <c r="G432" t="n">
        <v>3</v>
      </c>
      <c r="H432" t="n">
        <v>0</v>
      </c>
      <c r="I432" t="n">
        <v>0</v>
      </c>
      <c r="J432" t="n">
        <v>1</v>
      </c>
      <c r="K432" t="n">
        <v>0</v>
      </c>
      <c r="L432" t="n">
        <v>0</v>
      </c>
      <c r="M432" t="n">
        <v>0</v>
      </c>
      <c r="N432" t="n">
        <v>0</v>
      </c>
      <c r="O432" t="n">
        <v>1</v>
      </c>
      <c r="P432" t="n">
        <v>0</v>
      </c>
      <c r="Q432" t="n">
        <v>1</v>
      </c>
      <c r="R432" s="2" t="inlineStr">
        <is>
          <t>Vitgrynig nållav</t>
        </is>
      </c>
      <c r="S432">
        <f>HYPERLINK("https://klasma.github.io/Logging_2184/artfynd/A 24451-2022 artfynd.xlsx", "A 24451-2022")</f>
        <v/>
      </c>
      <c r="T432">
        <f>HYPERLINK("https://klasma.github.io/Logging_2184/kartor/A 24451-2022 karta.png", "A 24451-2022")</f>
        <v/>
      </c>
      <c r="V432">
        <f>HYPERLINK("https://klasma.github.io/Logging_2184/klagomål/A 24451-2022 FSC-klagomål.docx", "A 24451-2022")</f>
        <v/>
      </c>
      <c r="W432">
        <f>HYPERLINK("https://klasma.github.io/Logging_2184/klagomålsmail/A 24451-2022 FSC-klagomål mail.docx", "A 24451-2022")</f>
        <v/>
      </c>
      <c r="X432">
        <f>HYPERLINK("https://klasma.github.io/Logging_2184/tillsyn/A 24451-2022 tillsynsbegäran.docx", "A 24451-2022")</f>
        <v/>
      </c>
      <c r="Y432">
        <f>HYPERLINK("https://klasma.github.io/Logging_2184/tillsynsmail/A 24451-2022 tillsynsbegäran mail.docx", "A 24451-2022")</f>
        <v/>
      </c>
    </row>
    <row r="433" ht="15" customHeight="1">
      <c r="A433" t="inlineStr">
        <is>
          <t>A 24698-2022</t>
        </is>
      </c>
      <c r="B433" s="1" t="n">
        <v>44727</v>
      </c>
      <c r="C433" s="1" t="n">
        <v>45578</v>
      </c>
      <c r="D433" t="inlineStr">
        <is>
          <t>GÄVLEBORGS LÄN</t>
        </is>
      </c>
      <c r="E433" t="inlineStr">
        <is>
          <t>SANDVIKEN</t>
        </is>
      </c>
      <c r="F433" t="inlineStr">
        <is>
          <t>Sveaskog</t>
        </is>
      </c>
      <c r="G433" t="n">
        <v>14.8</v>
      </c>
      <c r="H433" t="n">
        <v>1</v>
      </c>
      <c r="I433" t="n">
        <v>0</v>
      </c>
      <c r="J433" t="n">
        <v>0</v>
      </c>
      <c r="K433" t="n">
        <v>0</v>
      </c>
      <c r="L433" t="n">
        <v>0</v>
      </c>
      <c r="M433" t="n">
        <v>0</v>
      </c>
      <c r="N433" t="n">
        <v>0</v>
      </c>
      <c r="O433" t="n">
        <v>0</v>
      </c>
      <c r="P433" t="n">
        <v>0</v>
      </c>
      <c r="Q433" t="n">
        <v>1</v>
      </c>
      <c r="R433" s="2" t="inlineStr">
        <is>
          <t>Nattviol</t>
        </is>
      </c>
      <c r="S433">
        <f>HYPERLINK("https://klasma.github.io/Logging_2181/artfynd/A 24698-2022 artfynd.xlsx", "A 24698-2022")</f>
        <v/>
      </c>
      <c r="T433">
        <f>HYPERLINK("https://klasma.github.io/Logging_2181/kartor/A 24698-2022 karta.png", "A 24698-2022")</f>
        <v/>
      </c>
      <c r="V433">
        <f>HYPERLINK("https://klasma.github.io/Logging_2181/klagomål/A 24698-2022 FSC-klagomål.docx", "A 24698-2022")</f>
        <v/>
      </c>
      <c r="W433">
        <f>HYPERLINK("https://klasma.github.io/Logging_2181/klagomålsmail/A 24698-2022 FSC-klagomål mail.docx", "A 24698-2022")</f>
        <v/>
      </c>
      <c r="X433">
        <f>HYPERLINK("https://klasma.github.io/Logging_2181/tillsyn/A 24698-2022 tillsynsbegäran.docx", "A 24698-2022")</f>
        <v/>
      </c>
      <c r="Y433">
        <f>HYPERLINK("https://klasma.github.io/Logging_2181/tillsynsmail/A 24698-2022 tillsynsbegäran mail.docx", "A 24698-2022")</f>
        <v/>
      </c>
    </row>
    <row r="434" ht="15" customHeight="1">
      <c r="A434" t="inlineStr">
        <is>
          <t>A 25688-2022</t>
        </is>
      </c>
      <c r="B434" s="1" t="n">
        <v>44733</v>
      </c>
      <c r="C434" s="1" t="n">
        <v>45578</v>
      </c>
      <c r="D434" t="inlineStr">
        <is>
          <t>GÄVLEBORGS LÄN</t>
        </is>
      </c>
      <c r="E434" t="inlineStr">
        <is>
          <t>SANDVIKEN</t>
        </is>
      </c>
      <c r="G434" t="n">
        <v>5.8</v>
      </c>
      <c r="H434" t="n">
        <v>1</v>
      </c>
      <c r="I434" t="n">
        <v>0</v>
      </c>
      <c r="J434" t="n">
        <v>0</v>
      </c>
      <c r="K434" t="n">
        <v>0</v>
      </c>
      <c r="L434" t="n">
        <v>0</v>
      </c>
      <c r="M434" t="n">
        <v>0</v>
      </c>
      <c r="N434" t="n">
        <v>0</v>
      </c>
      <c r="O434" t="n">
        <v>0</v>
      </c>
      <c r="P434" t="n">
        <v>0</v>
      </c>
      <c r="Q434" t="n">
        <v>1</v>
      </c>
      <c r="R434" s="2" t="inlineStr">
        <is>
          <t>Revlummer</t>
        </is>
      </c>
      <c r="S434">
        <f>HYPERLINK("https://klasma.github.io/Logging_2181/artfynd/A 25688-2022 artfynd.xlsx", "A 25688-2022")</f>
        <v/>
      </c>
      <c r="T434">
        <f>HYPERLINK("https://klasma.github.io/Logging_2181/kartor/A 25688-2022 karta.png", "A 25688-2022")</f>
        <v/>
      </c>
      <c r="V434">
        <f>HYPERLINK("https://klasma.github.io/Logging_2181/klagomål/A 25688-2022 FSC-klagomål.docx", "A 25688-2022")</f>
        <v/>
      </c>
      <c r="W434">
        <f>HYPERLINK("https://klasma.github.io/Logging_2181/klagomålsmail/A 25688-2022 FSC-klagomål mail.docx", "A 25688-2022")</f>
        <v/>
      </c>
      <c r="X434">
        <f>HYPERLINK("https://klasma.github.io/Logging_2181/tillsyn/A 25688-2022 tillsynsbegäran.docx", "A 25688-2022")</f>
        <v/>
      </c>
      <c r="Y434">
        <f>HYPERLINK("https://klasma.github.io/Logging_2181/tillsynsmail/A 25688-2022 tillsynsbegäran mail.docx", "A 25688-2022")</f>
        <v/>
      </c>
    </row>
    <row r="435" ht="15" customHeight="1">
      <c r="A435" t="inlineStr">
        <is>
          <t>A 27508-2022</t>
        </is>
      </c>
      <c r="B435" s="1" t="n">
        <v>44742</v>
      </c>
      <c r="C435" s="1" t="n">
        <v>45578</v>
      </c>
      <c r="D435" t="inlineStr">
        <is>
          <t>GÄVLEBORGS LÄN</t>
        </is>
      </c>
      <c r="E435" t="inlineStr">
        <is>
          <t>LJUSDAL</t>
        </is>
      </c>
      <c r="F435" t="inlineStr">
        <is>
          <t>Kommuner</t>
        </is>
      </c>
      <c r="G435" t="n">
        <v>1.8</v>
      </c>
      <c r="H435" t="n">
        <v>0</v>
      </c>
      <c r="I435" t="n">
        <v>0</v>
      </c>
      <c r="J435" t="n">
        <v>1</v>
      </c>
      <c r="K435" t="n">
        <v>0</v>
      </c>
      <c r="L435" t="n">
        <v>0</v>
      </c>
      <c r="M435" t="n">
        <v>0</v>
      </c>
      <c r="N435" t="n">
        <v>0</v>
      </c>
      <c r="O435" t="n">
        <v>1</v>
      </c>
      <c r="P435" t="n">
        <v>0</v>
      </c>
      <c r="Q435" t="n">
        <v>1</v>
      </c>
      <c r="R435" s="2" t="inlineStr">
        <is>
          <t>Violettgrå tagellav</t>
        </is>
      </c>
      <c r="S435">
        <f>HYPERLINK("https://klasma.github.io/Logging_2161/artfynd/A 27508-2022 artfynd.xlsx", "A 27508-2022")</f>
        <v/>
      </c>
      <c r="T435">
        <f>HYPERLINK("https://klasma.github.io/Logging_2161/kartor/A 27508-2022 karta.png", "A 27508-2022")</f>
        <v/>
      </c>
      <c r="V435">
        <f>HYPERLINK("https://klasma.github.io/Logging_2161/klagomål/A 27508-2022 FSC-klagomål.docx", "A 27508-2022")</f>
        <v/>
      </c>
      <c r="W435">
        <f>HYPERLINK("https://klasma.github.io/Logging_2161/klagomålsmail/A 27508-2022 FSC-klagomål mail.docx", "A 27508-2022")</f>
        <v/>
      </c>
      <c r="X435">
        <f>HYPERLINK("https://klasma.github.io/Logging_2161/tillsyn/A 27508-2022 tillsynsbegäran.docx", "A 27508-2022")</f>
        <v/>
      </c>
      <c r="Y435">
        <f>HYPERLINK("https://klasma.github.io/Logging_2161/tillsynsmail/A 27508-2022 tillsynsbegäran mail.docx", "A 27508-2022")</f>
        <v/>
      </c>
    </row>
    <row r="436" ht="15" customHeight="1">
      <c r="A436" t="inlineStr">
        <is>
          <t>A 27896-2022</t>
        </is>
      </c>
      <c r="B436" s="1" t="n">
        <v>44743</v>
      </c>
      <c r="C436" s="1" t="n">
        <v>45578</v>
      </c>
      <c r="D436" t="inlineStr">
        <is>
          <t>GÄVLEBORGS LÄN</t>
        </is>
      </c>
      <c r="E436" t="inlineStr">
        <is>
          <t>LJUSDAL</t>
        </is>
      </c>
      <c r="F436" t="inlineStr">
        <is>
          <t>Bergvik skog väst AB</t>
        </is>
      </c>
      <c r="G436" t="n">
        <v>5.4</v>
      </c>
      <c r="H436" t="n">
        <v>0</v>
      </c>
      <c r="I436" t="n">
        <v>0</v>
      </c>
      <c r="J436" t="n">
        <v>1</v>
      </c>
      <c r="K436" t="n">
        <v>0</v>
      </c>
      <c r="L436" t="n">
        <v>0</v>
      </c>
      <c r="M436" t="n">
        <v>0</v>
      </c>
      <c r="N436" t="n">
        <v>0</v>
      </c>
      <c r="O436" t="n">
        <v>1</v>
      </c>
      <c r="P436" t="n">
        <v>0</v>
      </c>
      <c r="Q436" t="n">
        <v>1</v>
      </c>
      <c r="R436" s="2" t="inlineStr">
        <is>
          <t>Stiftgelélav</t>
        </is>
      </c>
      <c r="S436">
        <f>HYPERLINK("https://klasma.github.io/Logging_2161/artfynd/A 27896-2022 artfynd.xlsx", "A 27896-2022")</f>
        <v/>
      </c>
      <c r="T436">
        <f>HYPERLINK("https://klasma.github.io/Logging_2161/kartor/A 27896-2022 karta.png", "A 27896-2022")</f>
        <v/>
      </c>
      <c r="V436">
        <f>HYPERLINK("https://klasma.github.io/Logging_2161/klagomål/A 27896-2022 FSC-klagomål.docx", "A 27896-2022")</f>
        <v/>
      </c>
      <c r="W436">
        <f>HYPERLINK("https://klasma.github.io/Logging_2161/klagomålsmail/A 27896-2022 FSC-klagomål mail.docx", "A 27896-2022")</f>
        <v/>
      </c>
      <c r="X436">
        <f>HYPERLINK("https://klasma.github.io/Logging_2161/tillsyn/A 27896-2022 tillsynsbegäran.docx", "A 27896-2022")</f>
        <v/>
      </c>
      <c r="Y436">
        <f>HYPERLINK("https://klasma.github.io/Logging_2161/tillsynsmail/A 27896-2022 tillsynsbegäran mail.docx", "A 27896-2022")</f>
        <v/>
      </c>
    </row>
    <row r="437" ht="15" customHeight="1">
      <c r="A437" t="inlineStr">
        <is>
          <t>A 30963-2022</t>
        </is>
      </c>
      <c r="B437" s="1" t="n">
        <v>44768</v>
      </c>
      <c r="C437" s="1" t="n">
        <v>45578</v>
      </c>
      <c r="D437" t="inlineStr">
        <is>
          <t>GÄVLEBORGS LÄN</t>
        </is>
      </c>
      <c r="E437" t="inlineStr">
        <is>
          <t>HUDIKSVALL</t>
        </is>
      </c>
      <c r="F437" t="inlineStr">
        <is>
          <t>Holmen skog AB</t>
        </is>
      </c>
      <c r="G437" t="n">
        <v>9.9</v>
      </c>
      <c r="H437" t="n">
        <v>1</v>
      </c>
      <c r="I437" t="n">
        <v>0</v>
      </c>
      <c r="J437" t="n">
        <v>0</v>
      </c>
      <c r="K437" t="n">
        <v>0</v>
      </c>
      <c r="L437" t="n">
        <v>0</v>
      </c>
      <c r="M437" t="n">
        <v>0</v>
      </c>
      <c r="N437" t="n">
        <v>0</v>
      </c>
      <c r="O437" t="n">
        <v>0</v>
      </c>
      <c r="P437" t="n">
        <v>0</v>
      </c>
      <c r="Q437" t="n">
        <v>1</v>
      </c>
      <c r="R437" s="2" t="inlineStr">
        <is>
          <t>Revlummer</t>
        </is>
      </c>
      <c r="S437">
        <f>HYPERLINK("https://klasma.github.io/Logging_2184/artfynd/A 30963-2022 artfynd.xlsx", "A 30963-2022")</f>
        <v/>
      </c>
      <c r="T437">
        <f>HYPERLINK("https://klasma.github.io/Logging_2184/kartor/A 30963-2022 karta.png", "A 30963-2022")</f>
        <v/>
      </c>
      <c r="V437">
        <f>HYPERLINK("https://klasma.github.io/Logging_2184/klagomål/A 30963-2022 FSC-klagomål.docx", "A 30963-2022")</f>
        <v/>
      </c>
      <c r="W437">
        <f>HYPERLINK("https://klasma.github.io/Logging_2184/klagomålsmail/A 30963-2022 FSC-klagomål mail.docx", "A 30963-2022")</f>
        <v/>
      </c>
      <c r="X437">
        <f>HYPERLINK("https://klasma.github.io/Logging_2184/tillsyn/A 30963-2022 tillsynsbegäran.docx", "A 30963-2022")</f>
        <v/>
      </c>
      <c r="Y437">
        <f>HYPERLINK("https://klasma.github.io/Logging_2184/tillsynsmail/A 30963-2022 tillsynsbegäran mail.docx", "A 30963-2022")</f>
        <v/>
      </c>
    </row>
    <row r="438" ht="15" customHeight="1">
      <c r="A438" t="inlineStr">
        <is>
          <t>A 31023-2022</t>
        </is>
      </c>
      <c r="B438" s="1" t="n">
        <v>44768</v>
      </c>
      <c r="C438" s="1" t="n">
        <v>45578</v>
      </c>
      <c r="D438" t="inlineStr">
        <is>
          <t>GÄVLEBORGS LÄN</t>
        </is>
      </c>
      <c r="E438" t="inlineStr">
        <is>
          <t>SANDVIKEN</t>
        </is>
      </c>
      <c r="F438" t="inlineStr">
        <is>
          <t>Sveaskog</t>
        </is>
      </c>
      <c r="G438" t="n">
        <v>2.4</v>
      </c>
      <c r="H438" t="n">
        <v>0</v>
      </c>
      <c r="I438" t="n">
        <v>1</v>
      </c>
      <c r="J438" t="n">
        <v>0</v>
      </c>
      <c r="K438" t="n">
        <v>0</v>
      </c>
      <c r="L438" t="n">
        <v>0</v>
      </c>
      <c r="M438" t="n">
        <v>0</v>
      </c>
      <c r="N438" t="n">
        <v>0</v>
      </c>
      <c r="O438" t="n">
        <v>0</v>
      </c>
      <c r="P438" t="n">
        <v>0</v>
      </c>
      <c r="Q438" t="n">
        <v>1</v>
      </c>
      <c r="R438" s="2" t="inlineStr">
        <is>
          <t>Bronshjon</t>
        </is>
      </c>
      <c r="S438">
        <f>HYPERLINK("https://klasma.github.io/Logging_2181/artfynd/A 31023-2022 artfynd.xlsx", "A 31023-2022")</f>
        <v/>
      </c>
      <c r="T438">
        <f>HYPERLINK("https://klasma.github.io/Logging_2181/kartor/A 31023-2022 karta.png", "A 31023-2022")</f>
        <v/>
      </c>
      <c r="V438">
        <f>HYPERLINK("https://klasma.github.io/Logging_2181/klagomål/A 31023-2022 FSC-klagomål.docx", "A 31023-2022")</f>
        <v/>
      </c>
      <c r="W438">
        <f>HYPERLINK("https://klasma.github.io/Logging_2181/klagomålsmail/A 31023-2022 FSC-klagomål mail.docx", "A 31023-2022")</f>
        <v/>
      </c>
      <c r="X438">
        <f>HYPERLINK("https://klasma.github.io/Logging_2181/tillsyn/A 31023-2022 tillsynsbegäran.docx", "A 31023-2022")</f>
        <v/>
      </c>
      <c r="Y438">
        <f>HYPERLINK("https://klasma.github.io/Logging_2181/tillsynsmail/A 31023-2022 tillsynsbegäran mail.docx", "A 31023-2022")</f>
        <v/>
      </c>
    </row>
    <row r="439" ht="15" customHeight="1">
      <c r="A439" t="inlineStr">
        <is>
          <t>A 32036-2022</t>
        </is>
      </c>
      <c r="B439" s="1" t="n">
        <v>44778</v>
      </c>
      <c r="C439" s="1" t="n">
        <v>45578</v>
      </c>
      <c r="D439" t="inlineStr">
        <is>
          <t>GÄVLEBORGS LÄN</t>
        </is>
      </c>
      <c r="E439" t="inlineStr">
        <is>
          <t>LJUSDAL</t>
        </is>
      </c>
      <c r="F439" t="inlineStr">
        <is>
          <t>Sveaskog</t>
        </is>
      </c>
      <c r="G439" t="n">
        <v>2.9</v>
      </c>
      <c r="H439" t="n">
        <v>0</v>
      </c>
      <c r="I439" t="n">
        <v>0</v>
      </c>
      <c r="J439" t="n">
        <v>1</v>
      </c>
      <c r="K439" t="n">
        <v>0</v>
      </c>
      <c r="L439" t="n">
        <v>0</v>
      </c>
      <c r="M439" t="n">
        <v>0</v>
      </c>
      <c r="N439" t="n">
        <v>0</v>
      </c>
      <c r="O439" t="n">
        <v>1</v>
      </c>
      <c r="P439" t="n">
        <v>0</v>
      </c>
      <c r="Q439" t="n">
        <v>1</v>
      </c>
      <c r="R439" s="2" t="inlineStr">
        <is>
          <t>Kolflarnlav</t>
        </is>
      </c>
      <c r="S439">
        <f>HYPERLINK("https://klasma.github.io/Logging_2161/artfynd/A 32036-2022 artfynd.xlsx", "A 32036-2022")</f>
        <v/>
      </c>
      <c r="T439">
        <f>HYPERLINK("https://klasma.github.io/Logging_2161/kartor/A 32036-2022 karta.png", "A 32036-2022")</f>
        <v/>
      </c>
      <c r="V439">
        <f>HYPERLINK("https://klasma.github.io/Logging_2161/klagomål/A 32036-2022 FSC-klagomål.docx", "A 32036-2022")</f>
        <v/>
      </c>
      <c r="W439">
        <f>HYPERLINK("https://klasma.github.io/Logging_2161/klagomålsmail/A 32036-2022 FSC-klagomål mail.docx", "A 32036-2022")</f>
        <v/>
      </c>
      <c r="X439">
        <f>HYPERLINK("https://klasma.github.io/Logging_2161/tillsyn/A 32036-2022 tillsynsbegäran.docx", "A 32036-2022")</f>
        <v/>
      </c>
      <c r="Y439">
        <f>HYPERLINK("https://klasma.github.io/Logging_2161/tillsynsmail/A 32036-2022 tillsynsbegäran mail.docx", "A 32036-2022")</f>
        <v/>
      </c>
    </row>
    <row r="440" ht="15" customHeight="1">
      <c r="A440" t="inlineStr">
        <is>
          <t>A 32783-2022</t>
        </is>
      </c>
      <c r="B440" s="1" t="n">
        <v>44784</v>
      </c>
      <c r="C440" s="1" t="n">
        <v>45578</v>
      </c>
      <c r="D440" t="inlineStr">
        <is>
          <t>GÄVLEBORGS LÄN</t>
        </is>
      </c>
      <c r="E440" t="inlineStr">
        <is>
          <t>LJUSDAL</t>
        </is>
      </c>
      <c r="F440" t="inlineStr">
        <is>
          <t>Sveaskog</t>
        </is>
      </c>
      <c r="G440" t="n">
        <v>12.7</v>
      </c>
      <c r="H440" t="n">
        <v>0</v>
      </c>
      <c r="I440" t="n">
        <v>1</v>
      </c>
      <c r="J440" t="n">
        <v>0</v>
      </c>
      <c r="K440" t="n">
        <v>0</v>
      </c>
      <c r="L440" t="n">
        <v>0</v>
      </c>
      <c r="M440" t="n">
        <v>0</v>
      </c>
      <c r="N440" t="n">
        <v>0</v>
      </c>
      <c r="O440" t="n">
        <v>0</v>
      </c>
      <c r="P440" t="n">
        <v>0</v>
      </c>
      <c r="Q440" t="n">
        <v>1</v>
      </c>
      <c r="R440" s="2" t="inlineStr">
        <is>
          <t>Skarp dropptaggsvamp</t>
        </is>
      </c>
      <c r="S440">
        <f>HYPERLINK("https://klasma.github.io/Logging_2161/artfynd/A 32783-2022 artfynd.xlsx", "A 32783-2022")</f>
        <v/>
      </c>
      <c r="T440">
        <f>HYPERLINK("https://klasma.github.io/Logging_2161/kartor/A 32783-2022 karta.png", "A 32783-2022")</f>
        <v/>
      </c>
      <c r="V440">
        <f>HYPERLINK("https://klasma.github.io/Logging_2161/klagomål/A 32783-2022 FSC-klagomål.docx", "A 32783-2022")</f>
        <v/>
      </c>
      <c r="W440">
        <f>HYPERLINK("https://klasma.github.io/Logging_2161/klagomålsmail/A 32783-2022 FSC-klagomål mail.docx", "A 32783-2022")</f>
        <v/>
      </c>
      <c r="X440">
        <f>HYPERLINK("https://klasma.github.io/Logging_2161/tillsyn/A 32783-2022 tillsynsbegäran.docx", "A 32783-2022")</f>
        <v/>
      </c>
      <c r="Y440">
        <f>HYPERLINK("https://klasma.github.io/Logging_2161/tillsynsmail/A 32783-2022 tillsynsbegäran mail.docx", "A 32783-2022")</f>
        <v/>
      </c>
    </row>
    <row r="441" ht="15" customHeight="1">
      <c r="A441" t="inlineStr">
        <is>
          <t>A 33649-2022</t>
        </is>
      </c>
      <c r="B441" s="1" t="n">
        <v>44789</v>
      </c>
      <c r="C441" s="1" t="n">
        <v>45578</v>
      </c>
      <c r="D441" t="inlineStr">
        <is>
          <t>GÄVLEBORGS LÄN</t>
        </is>
      </c>
      <c r="E441" t="inlineStr">
        <is>
          <t>HOFORS</t>
        </is>
      </c>
      <c r="F441" t="inlineStr">
        <is>
          <t>Sveaskog</t>
        </is>
      </c>
      <c r="G441" t="n">
        <v>19.1</v>
      </c>
      <c r="H441" t="n">
        <v>1</v>
      </c>
      <c r="I441" t="n">
        <v>1</v>
      </c>
      <c r="J441" t="n">
        <v>0</v>
      </c>
      <c r="K441" t="n">
        <v>0</v>
      </c>
      <c r="L441" t="n">
        <v>0</v>
      </c>
      <c r="M441" t="n">
        <v>0</v>
      </c>
      <c r="N441" t="n">
        <v>0</v>
      </c>
      <c r="O441" t="n">
        <v>0</v>
      </c>
      <c r="P441" t="n">
        <v>0</v>
      </c>
      <c r="Q441" t="n">
        <v>1</v>
      </c>
      <c r="R441" s="2" t="inlineStr">
        <is>
          <t>Grönkulla</t>
        </is>
      </c>
      <c r="S441">
        <f>HYPERLINK("https://klasma.github.io/Logging_2104/artfynd/A 33649-2022 artfynd.xlsx", "A 33649-2022")</f>
        <v/>
      </c>
      <c r="T441">
        <f>HYPERLINK("https://klasma.github.io/Logging_2104/kartor/A 33649-2022 karta.png", "A 33649-2022")</f>
        <v/>
      </c>
      <c r="V441">
        <f>HYPERLINK("https://klasma.github.io/Logging_2104/klagomål/A 33649-2022 FSC-klagomål.docx", "A 33649-2022")</f>
        <v/>
      </c>
      <c r="W441">
        <f>HYPERLINK("https://klasma.github.io/Logging_2104/klagomålsmail/A 33649-2022 FSC-klagomål mail.docx", "A 33649-2022")</f>
        <v/>
      </c>
      <c r="X441">
        <f>HYPERLINK("https://klasma.github.io/Logging_2104/tillsyn/A 33649-2022 tillsynsbegäran.docx", "A 33649-2022")</f>
        <v/>
      </c>
      <c r="Y441">
        <f>HYPERLINK("https://klasma.github.io/Logging_2104/tillsynsmail/A 33649-2022 tillsynsbegäran mail.docx", "A 33649-2022")</f>
        <v/>
      </c>
    </row>
    <row r="442" ht="15" customHeight="1">
      <c r="A442" t="inlineStr">
        <is>
          <t>A 33812-2022</t>
        </is>
      </c>
      <c r="B442" s="1" t="n">
        <v>44790</v>
      </c>
      <c r="C442" s="1" t="n">
        <v>45578</v>
      </c>
      <c r="D442" t="inlineStr">
        <is>
          <t>GÄVLEBORGS LÄN</t>
        </is>
      </c>
      <c r="E442" t="inlineStr">
        <is>
          <t>GÄVLE</t>
        </is>
      </c>
      <c r="G442" t="n">
        <v>2.1</v>
      </c>
      <c r="H442" t="n">
        <v>0</v>
      </c>
      <c r="I442" t="n">
        <v>1</v>
      </c>
      <c r="J442" t="n">
        <v>0</v>
      </c>
      <c r="K442" t="n">
        <v>0</v>
      </c>
      <c r="L442" t="n">
        <v>0</v>
      </c>
      <c r="M442" t="n">
        <v>0</v>
      </c>
      <c r="N442" t="n">
        <v>0</v>
      </c>
      <c r="O442" t="n">
        <v>0</v>
      </c>
      <c r="P442" t="n">
        <v>0</v>
      </c>
      <c r="Q442" t="n">
        <v>1</v>
      </c>
      <c r="R442" s="2" t="inlineStr">
        <is>
          <t>Myskmadra</t>
        </is>
      </c>
      <c r="S442">
        <f>HYPERLINK("https://klasma.github.io/Logging_2180/artfynd/A 33812-2022 artfynd.xlsx", "A 33812-2022")</f>
        <v/>
      </c>
      <c r="T442">
        <f>HYPERLINK("https://klasma.github.io/Logging_2180/kartor/A 33812-2022 karta.png", "A 33812-2022")</f>
        <v/>
      </c>
      <c r="V442">
        <f>HYPERLINK("https://klasma.github.io/Logging_2180/klagomål/A 33812-2022 FSC-klagomål.docx", "A 33812-2022")</f>
        <v/>
      </c>
      <c r="W442">
        <f>HYPERLINK("https://klasma.github.io/Logging_2180/klagomålsmail/A 33812-2022 FSC-klagomål mail.docx", "A 33812-2022")</f>
        <v/>
      </c>
      <c r="X442">
        <f>HYPERLINK("https://klasma.github.io/Logging_2180/tillsyn/A 33812-2022 tillsynsbegäran.docx", "A 33812-2022")</f>
        <v/>
      </c>
      <c r="Y442">
        <f>HYPERLINK("https://klasma.github.io/Logging_2180/tillsynsmail/A 33812-2022 tillsynsbegäran mail.docx", "A 33812-2022")</f>
        <v/>
      </c>
    </row>
    <row r="443" ht="15" customHeight="1">
      <c r="A443" t="inlineStr">
        <is>
          <t>A 34345-2022</t>
        </is>
      </c>
      <c r="B443" s="1" t="n">
        <v>44792</v>
      </c>
      <c r="C443" s="1" t="n">
        <v>45578</v>
      </c>
      <c r="D443" t="inlineStr">
        <is>
          <t>GÄVLEBORGS LÄN</t>
        </is>
      </c>
      <c r="E443" t="inlineStr">
        <is>
          <t>HUDIKSVALL</t>
        </is>
      </c>
      <c r="F443" t="inlineStr">
        <is>
          <t>Holmen skog AB</t>
        </is>
      </c>
      <c r="G443" t="n">
        <v>4.4</v>
      </c>
      <c r="H443" t="n">
        <v>0</v>
      </c>
      <c r="I443" t="n">
        <v>1</v>
      </c>
      <c r="J443" t="n">
        <v>0</v>
      </c>
      <c r="K443" t="n">
        <v>0</v>
      </c>
      <c r="L443" t="n">
        <v>0</v>
      </c>
      <c r="M443" t="n">
        <v>0</v>
      </c>
      <c r="N443" t="n">
        <v>0</v>
      </c>
      <c r="O443" t="n">
        <v>0</v>
      </c>
      <c r="P443" t="n">
        <v>0</v>
      </c>
      <c r="Q443" t="n">
        <v>1</v>
      </c>
      <c r="R443" s="2" t="inlineStr">
        <is>
          <t>Stuplav</t>
        </is>
      </c>
      <c r="S443">
        <f>HYPERLINK("https://klasma.github.io/Logging_2184/artfynd/A 34345-2022 artfynd.xlsx", "A 34345-2022")</f>
        <v/>
      </c>
      <c r="T443">
        <f>HYPERLINK("https://klasma.github.io/Logging_2184/kartor/A 34345-2022 karta.png", "A 34345-2022")</f>
        <v/>
      </c>
      <c r="V443">
        <f>HYPERLINK("https://klasma.github.io/Logging_2184/klagomål/A 34345-2022 FSC-klagomål.docx", "A 34345-2022")</f>
        <v/>
      </c>
      <c r="W443">
        <f>HYPERLINK("https://klasma.github.io/Logging_2184/klagomålsmail/A 34345-2022 FSC-klagomål mail.docx", "A 34345-2022")</f>
        <v/>
      </c>
      <c r="X443">
        <f>HYPERLINK("https://klasma.github.io/Logging_2184/tillsyn/A 34345-2022 tillsynsbegäran.docx", "A 34345-2022")</f>
        <v/>
      </c>
      <c r="Y443">
        <f>HYPERLINK("https://klasma.github.io/Logging_2184/tillsynsmail/A 34345-2022 tillsynsbegäran mail.docx", "A 34345-2022")</f>
        <v/>
      </c>
    </row>
    <row r="444" ht="15" customHeight="1">
      <c r="A444" t="inlineStr">
        <is>
          <t>A 34414-2022</t>
        </is>
      </c>
      <c r="B444" s="1" t="n">
        <v>44792</v>
      </c>
      <c r="C444" s="1" t="n">
        <v>45578</v>
      </c>
      <c r="D444" t="inlineStr">
        <is>
          <t>GÄVLEBORGS LÄN</t>
        </is>
      </c>
      <c r="E444" t="inlineStr">
        <is>
          <t>OVANÅKER</t>
        </is>
      </c>
      <c r="F444" t="inlineStr">
        <is>
          <t>Sveaskog</t>
        </is>
      </c>
      <c r="G444" t="n">
        <v>1.9</v>
      </c>
      <c r="H444" t="n">
        <v>0</v>
      </c>
      <c r="I444" t="n">
        <v>0</v>
      </c>
      <c r="J444" t="n">
        <v>1</v>
      </c>
      <c r="K444" t="n">
        <v>0</v>
      </c>
      <c r="L444" t="n">
        <v>0</v>
      </c>
      <c r="M444" t="n">
        <v>0</v>
      </c>
      <c r="N444" t="n">
        <v>0</v>
      </c>
      <c r="O444" t="n">
        <v>1</v>
      </c>
      <c r="P444" t="n">
        <v>0</v>
      </c>
      <c r="Q444" t="n">
        <v>1</v>
      </c>
      <c r="R444" s="2" t="inlineStr">
        <is>
          <t>Lunglav</t>
        </is>
      </c>
      <c r="S444">
        <f>HYPERLINK("https://klasma.github.io/Logging_2121/artfynd/A 34414-2022 artfynd.xlsx", "A 34414-2022")</f>
        <v/>
      </c>
      <c r="T444">
        <f>HYPERLINK("https://klasma.github.io/Logging_2121/kartor/A 34414-2022 karta.png", "A 34414-2022")</f>
        <v/>
      </c>
      <c r="V444">
        <f>HYPERLINK("https://klasma.github.io/Logging_2121/klagomål/A 34414-2022 FSC-klagomål.docx", "A 34414-2022")</f>
        <v/>
      </c>
      <c r="W444">
        <f>HYPERLINK("https://klasma.github.io/Logging_2121/klagomålsmail/A 34414-2022 FSC-klagomål mail.docx", "A 34414-2022")</f>
        <v/>
      </c>
      <c r="X444">
        <f>HYPERLINK("https://klasma.github.io/Logging_2121/tillsyn/A 34414-2022 tillsynsbegäran.docx", "A 34414-2022")</f>
        <v/>
      </c>
      <c r="Y444">
        <f>HYPERLINK("https://klasma.github.io/Logging_2121/tillsynsmail/A 34414-2022 tillsynsbegäran mail.docx", "A 34414-2022")</f>
        <v/>
      </c>
    </row>
    <row r="445" ht="15" customHeight="1">
      <c r="A445" t="inlineStr">
        <is>
          <t>A 34415-2022</t>
        </is>
      </c>
      <c r="B445" s="1" t="n">
        <v>44792</v>
      </c>
      <c r="C445" s="1" t="n">
        <v>45578</v>
      </c>
      <c r="D445" t="inlineStr">
        <is>
          <t>GÄVLEBORGS LÄN</t>
        </is>
      </c>
      <c r="E445" t="inlineStr">
        <is>
          <t>OVANÅKER</t>
        </is>
      </c>
      <c r="F445" t="inlineStr">
        <is>
          <t>Sveaskog</t>
        </is>
      </c>
      <c r="G445" t="n">
        <v>2.3</v>
      </c>
      <c r="H445" t="n">
        <v>0</v>
      </c>
      <c r="I445" t="n">
        <v>0</v>
      </c>
      <c r="J445" t="n">
        <v>1</v>
      </c>
      <c r="K445" t="n">
        <v>0</v>
      </c>
      <c r="L445" t="n">
        <v>0</v>
      </c>
      <c r="M445" t="n">
        <v>0</v>
      </c>
      <c r="N445" t="n">
        <v>0</v>
      </c>
      <c r="O445" t="n">
        <v>1</v>
      </c>
      <c r="P445" t="n">
        <v>0</v>
      </c>
      <c r="Q445" t="n">
        <v>1</v>
      </c>
      <c r="R445" s="2" t="inlineStr">
        <is>
          <t>Lunglav</t>
        </is>
      </c>
      <c r="S445">
        <f>HYPERLINK("https://klasma.github.io/Logging_2121/artfynd/A 34415-2022 artfynd.xlsx", "A 34415-2022")</f>
        <v/>
      </c>
      <c r="T445">
        <f>HYPERLINK("https://klasma.github.io/Logging_2121/kartor/A 34415-2022 karta.png", "A 34415-2022")</f>
        <v/>
      </c>
      <c r="V445">
        <f>HYPERLINK("https://klasma.github.io/Logging_2121/klagomål/A 34415-2022 FSC-klagomål.docx", "A 34415-2022")</f>
        <v/>
      </c>
      <c r="W445">
        <f>HYPERLINK("https://klasma.github.io/Logging_2121/klagomålsmail/A 34415-2022 FSC-klagomål mail.docx", "A 34415-2022")</f>
        <v/>
      </c>
      <c r="X445">
        <f>HYPERLINK("https://klasma.github.io/Logging_2121/tillsyn/A 34415-2022 tillsynsbegäran.docx", "A 34415-2022")</f>
        <v/>
      </c>
      <c r="Y445">
        <f>HYPERLINK("https://klasma.github.io/Logging_2121/tillsynsmail/A 34415-2022 tillsynsbegäran mail.docx", "A 34415-2022")</f>
        <v/>
      </c>
    </row>
    <row r="446" ht="15" customHeight="1">
      <c r="A446" t="inlineStr">
        <is>
          <t>A 35582-2022</t>
        </is>
      </c>
      <c r="B446" s="1" t="n">
        <v>44799</v>
      </c>
      <c r="C446" s="1" t="n">
        <v>45578</v>
      </c>
      <c r="D446" t="inlineStr">
        <is>
          <t>GÄVLEBORGS LÄN</t>
        </is>
      </c>
      <c r="E446" t="inlineStr">
        <is>
          <t>LJUSDAL</t>
        </is>
      </c>
      <c r="F446" t="inlineStr">
        <is>
          <t>Sveaskog</t>
        </is>
      </c>
      <c r="G446" t="n">
        <v>3.3</v>
      </c>
      <c r="H446" t="n">
        <v>0</v>
      </c>
      <c r="I446" t="n">
        <v>0</v>
      </c>
      <c r="J446" t="n">
        <v>1</v>
      </c>
      <c r="K446" t="n">
        <v>0</v>
      </c>
      <c r="L446" t="n">
        <v>0</v>
      </c>
      <c r="M446" t="n">
        <v>0</v>
      </c>
      <c r="N446" t="n">
        <v>0</v>
      </c>
      <c r="O446" t="n">
        <v>1</v>
      </c>
      <c r="P446" t="n">
        <v>0</v>
      </c>
      <c r="Q446" t="n">
        <v>1</v>
      </c>
      <c r="R446" s="2" t="inlineStr">
        <is>
          <t>Lunglav</t>
        </is>
      </c>
      <c r="S446">
        <f>HYPERLINK("https://klasma.github.io/Logging_2161/artfynd/A 35582-2022 artfynd.xlsx", "A 35582-2022")</f>
        <v/>
      </c>
      <c r="T446">
        <f>HYPERLINK("https://klasma.github.io/Logging_2161/kartor/A 35582-2022 karta.png", "A 35582-2022")</f>
        <v/>
      </c>
      <c r="V446">
        <f>HYPERLINK("https://klasma.github.io/Logging_2161/klagomål/A 35582-2022 FSC-klagomål.docx", "A 35582-2022")</f>
        <v/>
      </c>
      <c r="W446">
        <f>HYPERLINK("https://klasma.github.io/Logging_2161/klagomålsmail/A 35582-2022 FSC-klagomål mail.docx", "A 35582-2022")</f>
        <v/>
      </c>
      <c r="X446">
        <f>HYPERLINK("https://klasma.github.io/Logging_2161/tillsyn/A 35582-2022 tillsynsbegäran.docx", "A 35582-2022")</f>
        <v/>
      </c>
      <c r="Y446">
        <f>HYPERLINK("https://klasma.github.io/Logging_2161/tillsynsmail/A 35582-2022 tillsynsbegäran mail.docx", "A 35582-2022")</f>
        <v/>
      </c>
    </row>
    <row r="447" ht="15" customHeight="1">
      <c r="A447" t="inlineStr">
        <is>
          <t>A 35525-2022</t>
        </is>
      </c>
      <c r="B447" s="1" t="n">
        <v>44799</v>
      </c>
      <c r="C447" s="1" t="n">
        <v>45578</v>
      </c>
      <c r="D447" t="inlineStr">
        <is>
          <t>GÄVLEBORGS LÄN</t>
        </is>
      </c>
      <c r="E447" t="inlineStr">
        <is>
          <t>SANDVIKEN</t>
        </is>
      </c>
      <c r="G447" t="n">
        <v>0.7</v>
      </c>
      <c r="H447" t="n">
        <v>1</v>
      </c>
      <c r="I447" t="n">
        <v>0</v>
      </c>
      <c r="J447" t="n">
        <v>0</v>
      </c>
      <c r="K447" t="n">
        <v>0</v>
      </c>
      <c r="L447" t="n">
        <v>0</v>
      </c>
      <c r="M447" t="n">
        <v>0</v>
      </c>
      <c r="N447" t="n">
        <v>0</v>
      </c>
      <c r="O447" t="n">
        <v>0</v>
      </c>
      <c r="P447" t="n">
        <v>0</v>
      </c>
      <c r="Q447" t="n">
        <v>1</v>
      </c>
      <c r="R447" s="2" t="inlineStr">
        <is>
          <t>Lopplummer</t>
        </is>
      </c>
      <c r="S447">
        <f>HYPERLINK("https://klasma.github.io/Logging_2181/artfynd/A 35525-2022 artfynd.xlsx", "A 35525-2022")</f>
        <v/>
      </c>
      <c r="T447">
        <f>HYPERLINK("https://klasma.github.io/Logging_2181/kartor/A 35525-2022 karta.png", "A 35525-2022")</f>
        <v/>
      </c>
      <c r="V447">
        <f>HYPERLINK("https://klasma.github.io/Logging_2181/klagomål/A 35525-2022 FSC-klagomål.docx", "A 35525-2022")</f>
        <v/>
      </c>
      <c r="W447">
        <f>HYPERLINK("https://klasma.github.io/Logging_2181/klagomålsmail/A 35525-2022 FSC-klagomål mail.docx", "A 35525-2022")</f>
        <v/>
      </c>
      <c r="X447">
        <f>HYPERLINK("https://klasma.github.io/Logging_2181/tillsyn/A 35525-2022 tillsynsbegäran.docx", "A 35525-2022")</f>
        <v/>
      </c>
      <c r="Y447">
        <f>HYPERLINK("https://klasma.github.io/Logging_2181/tillsynsmail/A 35525-2022 tillsynsbegäran mail.docx", "A 35525-2022")</f>
        <v/>
      </c>
    </row>
    <row r="448" ht="15" customHeight="1">
      <c r="A448" t="inlineStr">
        <is>
          <t>A 37927-2022</t>
        </is>
      </c>
      <c r="B448" s="1" t="n">
        <v>44811</v>
      </c>
      <c r="C448" s="1" t="n">
        <v>45578</v>
      </c>
      <c r="D448" t="inlineStr">
        <is>
          <t>GÄVLEBORGS LÄN</t>
        </is>
      </c>
      <c r="E448" t="inlineStr">
        <is>
          <t>GÄVLE</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HYPERLINK("https://klasma.github.io/Logging_2180/artfynd/A 37927-2022 artfynd.xlsx", "A 37927-2022")</f>
        <v/>
      </c>
      <c r="T448">
        <f>HYPERLINK("https://klasma.github.io/Logging_2180/kartor/A 37927-2022 karta.png", "A 37927-2022")</f>
        <v/>
      </c>
      <c r="U448">
        <f>HYPERLINK("https://klasma.github.io/Logging_2180/knärot/A 37927-2022 karta knärot.png", "A 37927-2022")</f>
        <v/>
      </c>
      <c r="V448">
        <f>HYPERLINK("https://klasma.github.io/Logging_2180/klagomål/A 37927-2022 FSC-klagomål.docx", "A 37927-2022")</f>
        <v/>
      </c>
      <c r="W448">
        <f>HYPERLINK("https://klasma.github.io/Logging_2180/klagomålsmail/A 37927-2022 FSC-klagomål mail.docx", "A 37927-2022")</f>
        <v/>
      </c>
      <c r="X448">
        <f>HYPERLINK("https://klasma.github.io/Logging_2180/tillsyn/A 37927-2022 tillsynsbegäran.docx", "A 37927-2022")</f>
        <v/>
      </c>
      <c r="Y448">
        <f>HYPERLINK("https://klasma.github.io/Logging_2180/tillsynsmail/A 37927-2022 tillsynsbegäran mail.docx", "A 37927-2022")</f>
        <v/>
      </c>
    </row>
    <row r="449" ht="15" customHeight="1">
      <c r="A449" t="inlineStr">
        <is>
          <t>A 38159-2022</t>
        </is>
      </c>
      <c r="B449" s="1" t="n">
        <v>44812</v>
      </c>
      <c r="C449" s="1" t="n">
        <v>45578</v>
      </c>
      <c r="D449" t="inlineStr">
        <is>
          <t>GÄVLEBORGS LÄN</t>
        </is>
      </c>
      <c r="E449" t="inlineStr">
        <is>
          <t>NORDANSTIG</t>
        </is>
      </c>
      <c r="F449" t="inlineStr">
        <is>
          <t>Holmen skog AB</t>
        </is>
      </c>
      <c r="G449" t="n">
        <v>1.4</v>
      </c>
      <c r="H449" t="n">
        <v>0</v>
      </c>
      <c r="I449" t="n">
        <v>0</v>
      </c>
      <c r="J449" t="n">
        <v>1</v>
      </c>
      <c r="K449" t="n">
        <v>0</v>
      </c>
      <c r="L449" t="n">
        <v>0</v>
      </c>
      <c r="M449" t="n">
        <v>0</v>
      </c>
      <c r="N449" t="n">
        <v>0</v>
      </c>
      <c r="O449" t="n">
        <v>1</v>
      </c>
      <c r="P449" t="n">
        <v>0</v>
      </c>
      <c r="Q449" t="n">
        <v>1</v>
      </c>
      <c r="R449" s="2" t="inlineStr">
        <is>
          <t>Granticka</t>
        </is>
      </c>
      <c r="S449">
        <f>HYPERLINK("https://klasma.github.io/Logging_2132/artfynd/A 38159-2022 artfynd.xlsx", "A 38159-2022")</f>
        <v/>
      </c>
      <c r="T449">
        <f>HYPERLINK("https://klasma.github.io/Logging_2132/kartor/A 38159-2022 karta.png", "A 38159-2022")</f>
        <v/>
      </c>
      <c r="V449">
        <f>HYPERLINK("https://klasma.github.io/Logging_2132/klagomål/A 38159-2022 FSC-klagomål.docx", "A 38159-2022")</f>
        <v/>
      </c>
      <c r="W449">
        <f>HYPERLINK("https://klasma.github.io/Logging_2132/klagomålsmail/A 38159-2022 FSC-klagomål mail.docx", "A 38159-2022")</f>
        <v/>
      </c>
      <c r="X449">
        <f>HYPERLINK("https://klasma.github.io/Logging_2132/tillsyn/A 38159-2022 tillsynsbegäran.docx", "A 38159-2022")</f>
        <v/>
      </c>
      <c r="Y449">
        <f>HYPERLINK("https://klasma.github.io/Logging_2132/tillsynsmail/A 38159-2022 tillsynsbegäran mail.docx", "A 38159-2022")</f>
        <v/>
      </c>
    </row>
    <row r="450" ht="15" customHeight="1">
      <c r="A450" t="inlineStr">
        <is>
          <t>A 38529-2022</t>
        </is>
      </c>
      <c r="B450" s="1" t="n">
        <v>44813</v>
      </c>
      <c r="C450" s="1" t="n">
        <v>45578</v>
      </c>
      <c r="D450" t="inlineStr">
        <is>
          <t>GÄVLEBORGS LÄN</t>
        </is>
      </c>
      <c r="E450" t="inlineStr">
        <is>
          <t>BOLLNÄS</t>
        </is>
      </c>
      <c r="G450" t="n">
        <v>0.9</v>
      </c>
      <c r="H450" t="n">
        <v>0</v>
      </c>
      <c r="I450" t="n">
        <v>0</v>
      </c>
      <c r="J450" t="n">
        <v>1</v>
      </c>
      <c r="K450" t="n">
        <v>0</v>
      </c>
      <c r="L450" t="n">
        <v>0</v>
      </c>
      <c r="M450" t="n">
        <v>0</v>
      </c>
      <c r="N450" t="n">
        <v>0</v>
      </c>
      <c r="O450" t="n">
        <v>1</v>
      </c>
      <c r="P450" t="n">
        <v>0</v>
      </c>
      <c r="Q450" t="n">
        <v>1</v>
      </c>
      <c r="R450" s="2" t="inlineStr">
        <is>
          <t>Skrovlig taggsvamp</t>
        </is>
      </c>
      <c r="S450">
        <f>HYPERLINK("https://klasma.github.io/Logging_2183/artfynd/A 38529-2022 artfynd.xlsx", "A 38529-2022")</f>
        <v/>
      </c>
      <c r="T450">
        <f>HYPERLINK("https://klasma.github.io/Logging_2183/kartor/A 38529-2022 karta.png", "A 38529-2022")</f>
        <v/>
      </c>
      <c r="V450">
        <f>HYPERLINK("https://klasma.github.io/Logging_2183/klagomål/A 38529-2022 FSC-klagomål.docx", "A 38529-2022")</f>
        <v/>
      </c>
      <c r="W450">
        <f>HYPERLINK("https://klasma.github.io/Logging_2183/klagomålsmail/A 38529-2022 FSC-klagomål mail.docx", "A 38529-2022")</f>
        <v/>
      </c>
      <c r="X450">
        <f>HYPERLINK("https://klasma.github.io/Logging_2183/tillsyn/A 38529-2022 tillsynsbegäran.docx", "A 38529-2022")</f>
        <v/>
      </c>
      <c r="Y450">
        <f>HYPERLINK("https://klasma.github.io/Logging_2183/tillsynsmail/A 38529-2022 tillsynsbegäran mail.docx", "A 38529-2022")</f>
        <v/>
      </c>
    </row>
    <row r="451" ht="15" customHeight="1">
      <c r="A451" t="inlineStr">
        <is>
          <t>A 41258-2022</t>
        </is>
      </c>
      <c r="B451" s="1" t="n">
        <v>44826</v>
      </c>
      <c r="C451" s="1" t="n">
        <v>45578</v>
      </c>
      <c r="D451" t="inlineStr">
        <is>
          <t>GÄVLEBORGS LÄN</t>
        </is>
      </c>
      <c r="E451" t="inlineStr">
        <is>
          <t>SÖDERHAMN</t>
        </is>
      </c>
      <c r="G451" t="n">
        <v>0.8</v>
      </c>
      <c r="H451" t="n">
        <v>0</v>
      </c>
      <c r="I451" t="n">
        <v>0</v>
      </c>
      <c r="J451" t="n">
        <v>1</v>
      </c>
      <c r="K451" t="n">
        <v>0</v>
      </c>
      <c r="L451" t="n">
        <v>0</v>
      </c>
      <c r="M451" t="n">
        <v>0</v>
      </c>
      <c r="N451" t="n">
        <v>0</v>
      </c>
      <c r="O451" t="n">
        <v>1</v>
      </c>
      <c r="P451" t="n">
        <v>0</v>
      </c>
      <c r="Q451" t="n">
        <v>1</v>
      </c>
      <c r="R451" s="2" t="inlineStr">
        <is>
          <t>Rosenticka</t>
        </is>
      </c>
      <c r="S451">
        <f>HYPERLINK("https://klasma.github.io/Logging_2182/artfynd/A 41258-2022 artfynd.xlsx", "A 41258-2022")</f>
        <v/>
      </c>
      <c r="T451">
        <f>HYPERLINK("https://klasma.github.io/Logging_2182/kartor/A 41258-2022 karta.png", "A 41258-2022")</f>
        <v/>
      </c>
      <c r="V451">
        <f>HYPERLINK("https://klasma.github.io/Logging_2182/klagomål/A 41258-2022 FSC-klagomål.docx", "A 41258-2022")</f>
        <v/>
      </c>
      <c r="W451">
        <f>HYPERLINK("https://klasma.github.io/Logging_2182/klagomålsmail/A 41258-2022 FSC-klagomål mail.docx", "A 41258-2022")</f>
        <v/>
      </c>
      <c r="X451">
        <f>HYPERLINK("https://klasma.github.io/Logging_2182/tillsyn/A 41258-2022 tillsynsbegäran.docx", "A 41258-2022")</f>
        <v/>
      </c>
      <c r="Y451">
        <f>HYPERLINK("https://klasma.github.io/Logging_2182/tillsynsmail/A 41258-2022 tillsynsbegäran mail.docx", "A 41258-2022")</f>
        <v/>
      </c>
    </row>
    <row r="452" ht="15" customHeight="1">
      <c r="A452" t="inlineStr">
        <is>
          <t>A 42937-2022</t>
        </is>
      </c>
      <c r="B452" s="1" t="n">
        <v>44833</v>
      </c>
      <c r="C452" s="1" t="n">
        <v>45578</v>
      </c>
      <c r="D452" t="inlineStr">
        <is>
          <t>GÄVLEBORGS LÄN</t>
        </is>
      </c>
      <c r="E452" t="inlineStr">
        <is>
          <t>LJUSDAL</t>
        </is>
      </c>
      <c r="G452" t="n">
        <v>0.7</v>
      </c>
      <c r="H452" t="n">
        <v>0</v>
      </c>
      <c r="I452" t="n">
        <v>0</v>
      </c>
      <c r="J452" t="n">
        <v>1</v>
      </c>
      <c r="K452" t="n">
        <v>0</v>
      </c>
      <c r="L452" t="n">
        <v>0</v>
      </c>
      <c r="M452" t="n">
        <v>0</v>
      </c>
      <c r="N452" t="n">
        <v>0</v>
      </c>
      <c r="O452" t="n">
        <v>1</v>
      </c>
      <c r="P452" t="n">
        <v>0</v>
      </c>
      <c r="Q452" t="n">
        <v>1</v>
      </c>
      <c r="R452" s="2" t="inlineStr">
        <is>
          <t>Lunglav</t>
        </is>
      </c>
      <c r="S452">
        <f>HYPERLINK("https://klasma.github.io/Logging_2161/artfynd/A 42937-2022 artfynd.xlsx", "A 42937-2022")</f>
        <v/>
      </c>
      <c r="T452">
        <f>HYPERLINK("https://klasma.github.io/Logging_2161/kartor/A 42937-2022 karta.png", "A 42937-2022")</f>
        <v/>
      </c>
      <c r="V452">
        <f>HYPERLINK("https://klasma.github.io/Logging_2161/klagomål/A 42937-2022 FSC-klagomål.docx", "A 42937-2022")</f>
        <v/>
      </c>
      <c r="W452">
        <f>HYPERLINK("https://klasma.github.io/Logging_2161/klagomålsmail/A 42937-2022 FSC-klagomål mail.docx", "A 42937-2022")</f>
        <v/>
      </c>
      <c r="X452">
        <f>HYPERLINK("https://klasma.github.io/Logging_2161/tillsyn/A 42937-2022 tillsynsbegäran.docx", "A 42937-2022")</f>
        <v/>
      </c>
      <c r="Y452">
        <f>HYPERLINK("https://klasma.github.io/Logging_2161/tillsynsmail/A 42937-2022 tillsynsbegäran mail.docx", "A 42937-2022")</f>
        <v/>
      </c>
    </row>
    <row r="453" ht="15" customHeight="1">
      <c r="A453" t="inlineStr">
        <is>
          <t>A 45241-2022</t>
        </is>
      </c>
      <c r="B453" s="1" t="n">
        <v>44840</v>
      </c>
      <c r="C453" s="1" t="n">
        <v>45578</v>
      </c>
      <c r="D453" t="inlineStr">
        <is>
          <t>GÄVLEBORGS LÄN</t>
        </is>
      </c>
      <c r="E453" t="inlineStr">
        <is>
          <t>GÄVLE</t>
        </is>
      </c>
      <c r="F453" t="inlineStr">
        <is>
          <t>Bergvik skog väst AB</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HYPERLINK("https://klasma.github.io/Logging_2180/artfynd/A 45241-2022 artfynd.xlsx", "A 45241-2022")</f>
        <v/>
      </c>
      <c r="T453">
        <f>HYPERLINK("https://klasma.github.io/Logging_2180/kartor/A 45241-2022 karta.png", "A 45241-2022")</f>
        <v/>
      </c>
      <c r="V453">
        <f>HYPERLINK("https://klasma.github.io/Logging_2180/klagomål/A 45241-2022 FSC-klagomål.docx", "A 45241-2022")</f>
        <v/>
      </c>
      <c r="W453">
        <f>HYPERLINK("https://klasma.github.io/Logging_2180/klagomålsmail/A 45241-2022 FSC-klagomål mail.docx", "A 45241-2022")</f>
        <v/>
      </c>
      <c r="X453">
        <f>HYPERLINK("https://klasma.github.io/Logging_2180/tillsyn/A 45241-2022 tillsynsbegäran.docx", "A 45241-2022")</f>
        <v/>
      </c>
      <c r="Y453">
        <f>HYPERLINK("https://klasma.github.io/Logging_2180/tillsynsmail/A 45241-2022 tillsynsbegäran mail.docx", "A 45241-2022")</f>
        <v/>
      </c>
    </row>
    <row r="454" ht="15" customHeight="1">
      <c r="A454" t="inlineStr">
        <is>
          <t>A 45909-2022</t>
        </is>
      </c>
      <c r="B454" s="1" t="n">
        <v>44846</v>
      </c>
      <c r="C454" s="1" t="n">
        <v>45578</v>
      </c>
      <c r="D454" t="inlineStr">
        <is>
          <t>GÄVLEBORGS LÄN</t>
        </is>
      </c>
      <c r="E454" t="inlineStr">
        <is>
          <t>SANDVIKEN</t>
        </is>
      </c>
      <c r="G454" t="n">
        <v>2.5</v>
      </c>
      <c r="H454" t="n">
        <v>0</v>
      </c>
      <c r="I454" t="n">
        <v>0</v>
      </c>
      <c r="J454" t="n">
        <v>1</v>
      </c>
      <c r="K454" t="n">
        <v>0</v>
      </c>
      <c r="L454" t="n">
        <v>0</v>
      </c>
      <c r="M454" t="n">
        <v>0</v>
      </c>
      <c r="N454" t="n">
        <v>0</v>
      </c>
      <c r="O454" t="n">
        <v>1</v>
      </c>
      <c r="P454" t="n">
        <v>0</v>
      </c>
      <c r="Q454" t="n">
        <v>1</v>
      </c>
      <c r="R454" s="2" t="inlineStr">
        <is>
          <t>Brunklöver</t>
        </is>
      </c>
      <c r="S454">
        <f>HYPERLINK("https://klasma.github.io/Logging_2181/artfynd/A 45909-2022 artfynd.xlsx", "A 45909-2022")</f>
        <v/>
      </c>
      <c r="T454">
        <f>HYPERLINK("https://klasma.github.io/Logging_2181/kartor/A 45909-2022 karta.png", "A 45909-2022")</f>
        <v/>
      </c>
      <c r="V454">
        <f>HYPERLINK("https://klasma.github.io/Logging_2181/klagomål/A 45909-2022 FSC-klagomål.docx", "A 45909-2022")</f>
        <v/>
      </c>
      <c r="W454">
        <f>HYPERLINK("https://klasma.github.io/Logging_2181/klagomålsmail/A 45909-2022 FSC-klagomål mail.docx", "A 45909-2022")</f>
        <v/>
      </c>
      <c r="X454">
        <f>HYPERLINK("https://klasma.github.io/Logging_2181/tillsyn/A 45909-2022 tillsynsbegäran.docx", "A 45909-2022")</f>
        <v/>
      </c>
      <c r="Y454">
        <f>HYPERLINK("https://klasma.github.io/Logging_2181/tillsynsmail/A 45909-2022 tillsynsbegäran mail.docx", "A 45909-2022")</f>
        <v/>
      </c>
    </row>
    <row r="455" ht="15" customHeight="1">
      <c r="A455" t="inlineStr">
        <is>
          <t>A 53259-2022</t>
        </is>
      </c>
      <c r="B455" s="1" t="n">
        <v>44876</v>
      </c>
      <c r="C455" s="1" t="n">
        <v>45578</v>
      </c>
      <c r="D455" t="inlineStr">
        <is>
          <t>GÄVLEBORGS LÄN</t>
        </is>
      </c>
      <c r="E455" t="inlineStr">
        <is>
          <t>SANDVIKEN</t>
        </is>
      </c>
      <c r="F455" t="inlineStr">
        <is>
          <t>Sveaskog</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HYPERLINK("https://klasma.github.io/Logging_2181/artfynd/A 53259-2022 artfynd.xlsx", "A 53259-2022")</f>
        <v/>
      </c>
      <c r="T455">
        <f>HYPERLINK("https://klasma.github.io/Logging_2181/kartor/A 53259-2022 karta.png", "A 53259-2022")</f>
        <v/>
      </c>
      <c r="U455">
        <f>HYPERLINK("https://klasma.github.io/Logging_2181/knärot/A 53259-2022 karta knärot.png", "A 53259-2022")</f>
        <v/>
      </c>
      <c r="V455">
        <f>HYPERLINK("https://klasma.github.io/Logging_2181/klagomål/A 53259-2022 FSC-klagomål.docx", "A 53259-2022")</f>
        <v/>
      </c>
      <c r="W455">
        <f>HYPERLINK("https://klasma.github.io/Logging_2181/klagomålsmail/A 53259-2022 FSC-klagomål mail.docx", "A 53259-2022")</f>
        <v/>
      </c>
      <c r="X455">
        <f>HYPERLINK("https://klasma.github.io/Logging_2181/tillsyn/A 53259-2022 tillsynsbegäran.docx", "A 53259-2022")</f>
        <v/>
      </c>
      <c r="Y455">
        <f>HYPERLINK("https://klasma.github.io/Logging_2181/tillsynsmail/A 53259-2022 tillsynsbegäran mail.docx", "A 53259-2022")</f>
        <v/>
      </c>
    </row>
    <row r="456" ht="15" customHeight="1">
      <c r="A456" t="inlineStr">
        <is>
          <t>A 53457-2022</t>
        </is>
      </c>
      <c r="B456" s="1" t="n">
        <v>44879</v>
      </c>
      <c r="C456" s="1" t="n">
        <v>45578</v>
      </c>
      <c r="D456" t="inlineStr">
        <is>
          <t>GÄVLEBORGS LÄN</t>
        </is>
      </c>
      <c r="E456" t="inlineStr">
        <is>
          <t>LJUSDAL</t>
        </is>
      </c>
      <c r="F456" t="inlineStr">
        <is>
          <t>Sveaskog</t>
        </is>
      </c>
      <c r="G456" t="n">
        <v>17</v>
      </c>
      <c r="H456" t="n">
        <v>0</v>
      </c>
      <c r="I456" t="n">
        <v>0</v>
      </c>
      <c r="J456" t="n">
        <v>1</v>
      </c>
      <c r="K456" t="n">
        <v>0</v>
      </c>
      <c r="L456" t="n">
        <v>0</v>
      </c>
      <c r="M456" t="n">
        <v>0</v>
      </c>
      <c r="N456" t="n">
        <v>0</v>
      </c>
      <c r="O456" t="n">
        <v>1</v>
      </c>
      <c r="P456" t="n">
        <v>0</v>
      </c>
      <c r="Q456" t="n">
        <v>1</v>
      </c>
      <c r="R456" s="2" t="inlineStr">
        <is>
          <t>Kolflarnlav</t>
        </is>
      </c>
      <c r="S456">
        <f>HYPERLINK("https://klasma.github.io/Logging_2161/artfynd/A 53457-2022 artfynd.xlsx", "A 53457-2022")</f>
        <v/>
      </c>
      <c r="T456">
        <f>HYPERLINK("https://klasma.github.io/Logging_2161/kartor/A 53457-2022 karta.png", "A 53457-2022")</f>
        <v/>
      </c>
      <c r="V456">
        <f>HYPERLINK("https://klasma.github.io/Logging_2161/klagomål/A 53457-2022 FSC-klagomål.docx", "A 53457-2022")</f>
        <v/>
      </c>
      <c r="W456">
        <f>HYPERLINK("https://klasma.github.io/Logging_2161/klagomålsmail/A 53457-2022 FSC-klagomål mail.docx", "A 53457-2022")</f>
        <v/>
      </c>
      <c r="X456">
        <f>HYPERLINK("https://klasma.github.io/Logging_2161/tillsyn/A 53457-2022 tillsynsbegäran.docx", "A 53457-2022")</f>
        <v/>
      </c>
      <c r="Y456">
        <f>HYPERLINK("https://klasma.github.io/Logging_2161/tillsynsmail/A 53457-2022 tillsynsbegäran mail.docx", "A 53457-2022")</f>
        <v/>
      </c>
    </row>
    <row r="457" ht="15" customHeight="1">
      <c r="A457" t="inlineStr">
        <is>
          <t>A 53926-2022</t>
        </is>
      </c>
      <c r="B457" s="1" t="n">
        <v>44880</v>
      </c>
      <c r="C457" s="1" t="n">
        <v>45578</v>
      </c>
      <c r="D457" t="inlineStr">
        <is>
          <t>GÄVLEBORGS LÄN</t>
        </is>
      </c>
      <c r="E457" t="inlineStr">
        <is>
          <t>LJUSDAL</t>
        </is>
      </c>
      <c r="F457" t="inlineStr">
        <is>
          <t>Naturvårdsverket</t>
        </is>
      </c>
      <c r="G457" t="n">
        <v>9.1</v>
      </c>
      <c r="H457" t="n">
        <v>1</v>
      </c>
      <c r="I457" t="n">
        <v>0</v>
      </c>
      <c r="J457" t="n">
        <v>0</v>
      </c>
      <c r="K457" t="n">
        <v>0</v>
      </c>
      <c r="L457" t="n">
        <v>0</v>
      </c>
      <c r="M457" t="n">
        <v>0</v>
      </c>
      <c r="N457" t="n">
        <v>0</v>
      </c>
      <c r="O457" t="n">
        <v>0</v>
      </c>
      <c r="P457" t="n">
        <v>0</v>
      </c>
      <c r="Q457" t="n">
        <v>1</v>
      </c>
      <c r="R457" s="2" t="inlineStr">
        <is>
          <t>Lavskrika</t>
        </is>
      </c>
      <c r="S457">
        <f>HYPERLINK("https://klasma.github.io/Logging_2161/artfynd/A 53926-2022 artfynd.xlsx", "A 53926-2022")</f>
        <v/>
      </c>
      <c r="T457">
        <f>HYPERLINK("https://klasma.github.io/Logging_2161/kartor/A 53926-2022 karta.png", "A 53926-2022")</f>
        <v/>
      </c>
      <c r="V457">
        <f>HYPERLINK("https://klasma.github.io/Logging_2161/klagomål/A 53926-2022 FSC-klagomål.docx", "A 53926-2022")</f>
        <v/>
      </c>
      <c r="W457">
        <f>HYPERLINK("https://klasma.github.io/Logging_2161/klagomålsmail/A 53926-2022 FSC-klagomål mail.docx", "A 53926-2022")</f>
        <v/>
      </c>
      <c r="X457">
        <f>HYPERLINK("https://klasma.github.io/Logging_2161/tillsyn/A 53926-2022 tillsynsbegäran.docx", "A 53926-2022")</f>
        <v/>
      </c>
      <c r="Y457">
        <f>HYPERLINK("https://klasma.github.io/Logging_2161/tillsynsmail/A 53926-2022 tillsynsbegäran mail.docx", "A 53926-2022")</f>
        <v/>
      </c>
      <c r="Z457">
        <f>HYPERLINK("https://klasma.github.io/Logging_2161/fåglar/A 53926-2022 prioriterade fågelarter.docx", "A 53926-2022")</f>
        <v/>
      </c>
    </row>
    <row r="458" ht="15" customHeight="1">
      <c r="A458" t="inlineStr">
        <is>
          <t>A 54083-2022</t>
        </is>
      </c>
      <c r="B458" s="1" t="n">
        <v>44881</v>
      </c>
      <c r="C458" s="1" t="n">
        <v>45578</v>
      </c>
      <c r="D458" t="inlineStr">
        <is>
          <t>GÄVLEBORGS LÄN</t>
        </is>
      </c>
      <c r="E458" t="inlineStr">
        <is>
          <t>BOLLNÄS</t>
        </is>
      </c>
      <c r="F458" t="inlineStr">
        <is>
          <t>Sveaskog</t>
        </is>
      </c>
      <c r="G458" t="n">
        <v>2.7</v>
      </c>
      <c r="H458" t="n">
        <v>1</v>
      </c>
      <c r="I458" t="n">
        <v>0</v>
      </c>
      <c r="J458" t="n">
        <v>0</v>
      </c>
      <c r="K458" t="n">
        <v>0</v>
      </c>
      <c r="L458" t="n">
        <v>0</v>
      </c>
      <c r="M458" t="n">
        <v>0</v>
      </c>
      <c r="N458" t="n">
        <v>0</v>
      </c>
      <c r="O458" t="n">
        <v>0</v>
      </c>
      <c r="P458" t="n">
        <v>0</v>
      </c>
      <c r="Q458" t="n">
        <v>1</v>
      </c>
      <c r="R458" s="2" t="inlineStr">
        <is>
          <t>Fläcknycklar</t>
        </is>
      </c>
      <c r="S458">
        <f>HYPERLINK("https://klasma.github.io/Logging_2183/artfynd/A 54083-2022 artfynd.xlsx", "A 54083-2022")</f>
        <v/>
      </c>
      <c r="T458">
        <f>HYPERLINK("https://klasma.github.io/Logging_2183/kartor/A 54083-2022 karta.png", "A 54083-2022")</f>
        <v/>
      </c>
      <c r="V458">
        <f>HYPERLINK("https://klasma.github.io/Logging_2183/klagomål/A 54083-2022 FSC-klagomål.docx", "A 54083-2022")</f>
        <v/>
      </c>
      <c r="W458">
        <f>HYPERLINK("https://klasma.github.io/Logging_2183/klagomålsmail/A 54083-2022 FSC-klagomål mail.docx", "A 54083-2022")</f>
        <v/>
      </c>
      <c r="X458">
        <f>HYPERLINK("https://klasma.github.io/Logging_2183/tillsyn/A 54083-2022 tillsynsbegäran.docx", "A 54083-2022")</f>
        <v/>
      </c>
      <c r="Y458">
        <f>HYPERLINK("https://klasma.github.io/Logging_2183/tillsynsmail/A 54083-2022 tillsynsbegäran mail.docx", "A 54083-2022")</f>
        <v/>
      </c>
    </row>
    <row r="459" ht="15" customHeight="1">
      <c r="A459" t="inlineStr">
        <is>
          <t>A 54188-2022</t>
        </is>
      </c>
      <c r="B459" s="1" t="n">
        <v>44881</v>
      </c>
      <c r="C459" s="1" t="n">
        <v>45578</v>
      </c>
      <c r="D459" t="inlineStr">
        <is>
          <t>GÄVLEBORGS LÄN</t>
        </is>
      </c>
      <c r="E459" t="inlineStr">
        <is>
          <t>HOFORS</t>
        </is>
      </c>
      <c r="F459" t="inlineStr">
        <is>
          <t>Sveaskog</t>
        </is>
      </c>
      <c r="G459" t="n">
        <v>4.5</v>
      </c>
      <c r="H459" t="n">
        <v>1</v>
      </c>
      <c r="I459" t="n">
        <v>0</v>
      </c>
      <c r="J459" t="n">
        <v>0</v>
      </c>
      <c r="K459" t="n">
        <v>0</v>
      </c>
      <c r="L459" t="n">
        <v>0</v>
      </c>
      <c r="M459" t="n">
        <v>0</v>
      </c>
      <c r="N459" t="n">
        <v>0</v>
      </c>
      <c r="O459" t="n">
        <v>0</v>
      </c>
      <c r="P459" t="n">
        <v>0</v>
      </c>
      <c r="Q459" t="n">
        <v>1</v>
      </c>
      <c r="R459" s="2" t="inlineStr">
        <is>
          <t>Blåsippa</t>
        </is>
      </c>
      <c r="S459">
        <f>HYPERLINK("https://klasma.github.io/Logging_2104/artfynd/A 54188-2022 artfynd.xlsx", "A 54188-2022")</f>
        <v/>
      </c>
      <c r="T459">
        <f>HYPERLINK("https://klasma.github.io/Logging_2104/kartor/A 54188-2022 karta.png", "A 54188-2022")</f>
        <v/>
      </c>
      <c r="V459">
        <f>HYPERLINK("https://klasma.github.io/Logging_2104/klagomål/A 54188-2022 FSC-klagomål.docx", "A 54188-2022")</f>
        <v/>
      </c>
      <c r="W459">
        <f>HYPERLINK("https://klasma.github.io/Logging_2104/klagomålsmail/A 54188-2022 FSC-klagomål mail.docx", "A 54188-2022")</f>
        <v/>
      </c>
      <c r="X459">
        <f>HYPERLINK("https://klasma.github.io/Logging_2104/tillsyn/A 54188-2022 tillsynsbegäran.docx", "A 54188-2022")</f>
        <v/>
      </c>
      <c r="Y459">
        <f>HYPERLINK("https://klasma.github.io/Logging_2104/tillsynsmail/A 54188-2022 tillsynsbegäran mail.docx", "A 54188-2022")</f>
        <v/>
      </c>
    </row>
    <row r="460" ht="15" customHeight="1">
      <c r="A460" t="inlineStr">
        <is>
          <t>A 54319-2022</t>
        </is>
      </c>
      <c r="B460" s="1" t="n">
        <v>44882</v>
      </c>
      <c r="C460" s="1" t="n">
        <v>45578</v>
      </c>
      <c r="D460" t="inlineStr">
        <is>
          <t>GÄVLEBORGS LÄN</t>
        </is>
      </c>
      <c r="E460" t="inlineStr">
        <is>
          <t>HOFORS</t>
        </is>
      </c>
      <c r="F460" t="inlineStr">
        <is>
          <t>Sveaskog</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HYPERLINK("https://klasma.github.io/Logging_2104/artfynd/A 54319-2022 artfynd.xlsx", "A 54319-2022")</f>
        <v/>
      </c>
      <c r="T460">
        <f>HYPERLINK("https://klasma.github.io/Logging_2104/kartor/A 54319-2022 karta.png", "A 54319-2022")</f>
        <v/>
      </c>
      <c r="V460">
        <f>HYPERLINK("https://klasma.github.io/Logging_2104/klagomål/A 54319-2022 FSC-klagomål.docx", "A 54319-2022")</f>
        <v/>
      </c>
      <c r="W460">
        <f>HYPERLINK("https://klasma.github.io/Logging_2104/klagomålsmail/A 54319-2022 FSC-klagomål mail.docx", "A 54319-2022")</f>
        <v/>
      </c>
      <c r="X460">
        <f>HYPERLINK("https://klasma.github.io/Logging_2104/tillsyn/A 54319-2022 tillsynsbegäran.docx", "A 54319-2022")</f>
        <v/>
      </c>
      <c r="Y460">
        <f>HYPERLINK("https://klasma.github.io/Logging_2104/tillsynsmail/A 54319-2022 tillsynsbegäran mail.docx", "A 54319-2022")</f>
        <v/>
      </c>
    </row>
    <row r="461" ht="15" customHeight="1">
      <c r="A461" t="inlineStr">
        <is>
          <t>A 62767-2022</t>
        </is>
      </c>
      <c r="B461" s="1" t="n">
        <v>44884</v>
      </c>
      <c r="C461" s="1" t="n">
        <v>45578</v>
      </c>
      <c r="D461" t="inlineStr">
        <is>
          <t>GÄVLEBORGS LÄN</t>
        </is>
      </c>
      <c r="E461" t="inlineStr">
        <is>
          <t>NORDANSTIG</t>
        </is>
      </c>
      <c r="F461" t="inlineStr">
        <is>
          <t>SCA</t>
        </is>
      </c>
      <c r="G461" t="n">
        <v>13.3</v>
      </c>
      <c r="H461" t="n">
        <v>1</v>
      </c>
      <c r="I461" t="n">
        <v>1</v>
      </c>
      <c r="J461" t="n">
        <v>0</v>
      </c>
      <c r="K461" t="n">
        <v>0</v>
      </c>
      <c r="L461" t="n">
        <v>0</v>
      </c>
      <c r="M461" t="n">
        <v>0</v>
      </c>
      <c r="N461" t="n">
        <v>0</v>
      </c>
      <c r="O461" t="n">
        <v>0</v>
      </c>
      <c r="P461" t="n">
        <v>0</v>
      </c>
      <c r="Q461" t="n">
        <v>1</v>
      </c>
      <c r="R461" s="2" t="inlineStr">
        <is>
          <t>Skogsknipprot</t>
        </is>
      </c>
      <c r="S461">
        <f>HYPERLINK("https://klasma.github.io/Logging_2132/artfynd/A 62767-2022 artfynd.xlsx", "A 62767-2022")</f>
        <v/>
      </c>
      <c r="T461">
        <f>HYPERLINK("https://klasma.github.io/Logging_2132/kartor/A 62767-2022 karta.png", "A 62767-2022")</f>
        <v/>
      </c>
      <c r="V461">
        <f>HYPERLINK("https://klasma.github.io/Logging_2132/klagomål/A 62767-2022 FSC-klagomål.docx", "A 62767-2022")</f>
        <v/>
      </c>
      <c r="W461">
        <f>HYPERLINK("https://klasma.github.io/Logging_2132/klagomålsmail/A 62767-2022 FSC-klagomål mail.docx", "A 62767-2022")</f>
        <v/>
      </c>
      <c r="X461">
        <f>HYPERLINK("https://klasma.github.io/Logging_2132/tillsyn/A 62767-2022 tillsynsbegäran.docx", "A 62767-2022")</f>
        <v/>
      </c>
      <c r="Y461">
        <f>HYPERLINK("https://klasma.github.io/Logging_2132/tillsynsmail/A 62767-2022 tillsynsbegäran mail.docx", "A 62767-2022")</f>
        <v/>
      </c>
    </row>
    <row r="462" ht="15" customHeight="1">
      <c r="A462" t="inlineStr">
        <is>
          <t>A 55216-2022</t>
        </is>
      </c>
      <c r="B462" s="1" t="n">
        <v>44886</v>
      </c>
      <c r="C462" s="1" t="n">
        <v>45578</v>
      </c>
      <c r="D462" t="inlineStr">
        <is>
          <t>GÄVLEBORGS LÄN</t>
        </is>
      </c>
      <c r="E462" t="inlineStr">
        <is>
          <t>LJUSDAL</t>
        </is>
      </c>
      <c r="F462" t="inlineStr">
        <is>
          <t>SCA</t>
        </is>
      </c>
      <c r="G462" t="n">
        <v>10.1</v>
      </c>
      <c r="H462" t="n">
        <v>1</v>
      </c>
      <c r="I462" t="n">
        <v>0</v>
      </c>
      <c r="J462" t="n">
        <v>0</v>
      </c>
      <c r="K462" t="n">
        <v>0</v>
      </c>
      <c r="L462" t="n">
        <v>0</v>
      </c>
      <c r="M462" t="n">
        <v>0</v>
      </c>
      <c r="N462" t="n">
        <v>0</v>
      </c>
      <c r="O462" t="n">
        <v>0</v>
      </c>
      <c r="P462" t="n">
        <v>0</v>
      </c>
      <c r="Q462" t="n">
        <v>1</v>
      </c>
      <c r="R462" s="2" t="inlineStr">
        <is>
          <t>Kungsfågel</t>
        </is>
      </c>
      <c r="S462">
        <f>HYPERLINK("https://klasma.github.io/Logging_2161/artfynd/A 55216-2022 artfynd.xlsx", "A 55216-2022")</f>
        <v/>
      </c>
      <c r="T462">
        <f>HYPERLINK("https://klasma.github.io/Logging_2161/kartor/A 55216-2022 karta.png", "A 55216-2022")</f>
        <v/>
      </c>
      <c r="V462">
        <f>HYPERLINK("https://klasma.github.io/Logging_2161/klagomål/A 55216-2022 FSC-klagomål.docx", "A 55216-2022")</f>
        <v/>
      </c>
      <c r="W462">
        <f>HYPERLINK("https://klasma.github.io/Logging_2161/klagomålsmail/A 55216-2022 FSC-klagomål mail.docx", "A 55216-2022")</f>
        <v/>
      </c>
      <c r="X462">
        <f>HYPERLINK("https://klasma.github.io/Logging_2161/tillsyn/A 55216-2022 tillsynsbegäran.docx", "A 55216-2022")</f>
        <v/>
      </c>
      <c r="Y462">
        <f>HYPERLINK("https://klasma.github.io/Logging_2161/tillsynsmail/A 55216-2022 tillsynsbegäran mail.docx", "A 55216-2022")</f>
        <v/>
      </c>
      <c r="Z462">
        <f>HYPERLINK("https://klasma.github.io/Logging_2161/fåglar/A 55216-2022 prioriterade fågelarter.docx", "A 55216-2022")</f>
        <v/>
      </c>
    </row>
    <row r="463" ht="15" customHeight="1">
      <c r="A463" t="inlineStr">
        <is>
          <t>A 55253-2022</t>
        </is>
      </c>
      <c r="B463" s="1" t="n">
        <v>44887</v>
      </c>
      <c r="C463" s="1" t="n">
        <v>45578</v>
      </c>
      <c r="D463" t="inlineStr">
        <is>
          <t>GÄVLEBORGS LÄN</t>
        </is>
      </c>
      <c r="E463" t="inlineStr">
        <is>
          <t>HUDIKSVALL</t>
        </is>
      </c>
      <c r="F463" t="inlineStr">
        <is>
          <t>Holmen skog AB</t>
        </is>
      </c>
      <c r="G463" t="n">
        <v>5.1</v>
      </c>
      <c r="H463" t="n">
        <v>1</v>
      </c>
      <c r="I463" t="n">
        <v>0</v>
      </c>
      <c r="J463" t="n">
        <v>0</v>
      </c>
      <c r="K463" t="n">
        <v>0</v>
      </c>
      <c r="L463" t="n">
        <v>0</v>
      </c>
      <c r="M463" t="n">
        <v>0</v>
      </c>
      <c r="N463" t="n">
        <v>0</v>
      </c>
      <c r="O463" t="n">
        <v>0</v>
      </c>
      <c r="P463" t="n">
        <v>0</v>
      </c>
      <c r="Q463" t="n">
        <v>1</v>
      </c>
      <c r="R463" s="2" t="inlineStr">
        <is>
          <t>Bivråk</t>
        </is>
      </c>
      <c r="S463">
        <f>HYPERLINK("https://klasma.github.io/Logging_2184/artfynd/A 55253-2022 artfynd.xlsx", "A 55253-2022")</f>
        <v/>
      </c>
      <c r="T463">
        <f>HYPERLINK("https://klasma.github.io/Logging_2184/kartor/A 55253-2022 karta.png", "A 55253-2022")</f>
        <v/>
      </c>
      <c r="U463">
        <f>HYPERLINK("https://klasma.github.io/Logging_2184/knärot/A 55253-2022 karta knärot.png", "A 55253-2022")</f>
        <v/>
      </c>
      <c r="V463">
        <f>HYPERLINK("https://klasma.github.io/Logging_2184/klagomål/A 55253-2022 FSC-klagomål.docx", "A 55253-2022")</f>
        <v/>
      </c>
      <c r="W463">
        <f>HYPERLINK("https://klasma.github.io/Logging_2184/klagomålsmail/A 55253-2022 FSC-klagomål mail.docx", "A 55253-2022")</f>
        <v/>
      </c>
      <c r="X463">
        <f>HYPERLINK("https://klasma.github.io/Logging_2184/tillsyn/A 55253-2022 tillsynsbegäran.docx", "A 55253-2022")</f>
        <v/>
      </c>
      <c r="Y463">
        <f>HYPERLINK("https://klasma.github.io/Logging_2184/tillsynsmail/A 55253-2022 tillsynsbegäran mail.docx", "A 55253-2022")</f>
        <v/>
      </c>
      <c r="Z463">
        <f>HYPERLINK("https://klasma.github.io/Logging_2184/fåglar/A 55253-2022 prioriterade fågelarter.docx", "A 55253-2022")</f>
        <v/>
      </c>
    </row>
    <row r="464" ht="15" customHeight="1">
      <c r="A464" t="inlineStr">
        <is>
          <t>A 58333-2022</t>
        </is>
      </c>
      <c r="B464" s="1" t="n">
        <v>44901</v>
      </c>
      <c r="C464" s="1" t="n">
        <v>45578</v>
      </c>
      <c r="D464" t="inlineStr">
        <is>
          <t>GÄVLEBORGS LÄN</t>
        </is>
      </c>
      <c r="E464" t="inlineStr">
        <is>
          <t>BOLLNÄS</t>
        </is>
      </c>
      <c r="G464" t="n">
        <v>1.8</v>
      </c>
      <c r="H464" t="n">
        <v>0</v>
      </c>
      <c r="I464" t="n">
        <v>0</v>
      </c>
      <c r="J464" t="n">
        <v>1</v>
      </c>
      <c r="K464" t="n">
        <v>0</v>
      </c>
      <c r="L464" t="n">
        <v>0</v>
      </c>
      <c r="M464" t="n">
        <v>0</v>
      </c>
      <c r="N464" t="n">
        <v>0</v>
      </c>
      <c r="O464" t="n">
        <v>1</v>
      </c>
      <c r="P464" t="n">
        <v>0</v>
      </c>
      <c r="Q464" t="n">
        <v>1</v>
      </c>
      <c r="R464" s="2" t="inlineStr">
        <is>
          <t>Granticka</t>
        </is>
      </c>
      <c r="S464">
        <f>HYPERLINK("https://klasma.github.io/Logging_2183/artfynd/A 58333-2022 artfynd.xlsx", "A 58333-2022")</f>
        <v/>
      </c>
      <c r="T464">
        <f>HYPERLINK("https://klasma.github.io/Logging_2183/kartor/A 58333-2022 karta.png", "A 58333-2022")</f>
        <v/>
      </c>
      <c r="V464">
        <f>HYPERLINK("https://klasma.github.io/Logging_2183/klagomål/A 58333-2022 FSC-klagomål.docx", "A 58333-2022")</f>
        <v/>
      </c>
      <c r="W464">
        <f>HYPERLINK("https://klasma.github.io/Logging_2183/klagomålsmail/A 58333-2022 FSC-klagomål mail.docx", "A 58333-2022")</f>
        <v/>
      </c>
      <c r="X464">
        <f>HYPERLINK("https://klasma.github.io/Logging_2183/tillsyn/A 58333-2022 tillsynsbegäran.docx", "A 58333-2022")</f>
        <v/>
      </c>
      <c r="Y464">
        <f>HYPERLINK("https://klasma.github.io/Logging_2183/tillsynsmail/A 58333-2022 tillsynsbegäran mail.docx", "A 58333-2022")</f>
        <v/>
      </c>
    </row>
    <row r="465" ht="15" customHeight="1">
      <c r="A465" t="inlineStr">
        <is>
          <t>A 58774-2022</t>
        </is>
      </c>
      <c r="B465" s="1" t="n">
        <v>44903</v>
      </c>
      <c r="C465" s="1" t="n">
        <v>45578</v>
      </c>
      <c r="D465" t="inlineStr">
        <is>
          <t>GÄVLEBORGS LÄN</t>
        </is>
      </c>
      <c r="E465" t="inlineStr">
        <is>
          <t>SANDVIKEN</t>
        </is>
      </c>
      <c r="F465" t="inlineStr">
        <is>
          <t>Bergvik skog öst AB</t>
        </is>
      </c>
      <c r="G465" t="n">
        <v>7.2</v>
      </c>
      <c r="H465" t="n">
        <v>0</v>
      </c>
      <c r="I465" t="n">
        <v>0</v>
      </c>
      <c r="J465" t="n">
        <v>1</v>
      </c>
      <c r="K465" t="n">
        <v>0</v>
      </c>
      <c r="L465" t="n">
        <v>0</v>
      </c>
      <c r="M465" t="n">
        <v>0</v>
      </c>
      <c r="N465" t="n">
        <v>0</v>
      </c>
      <c r="O465" t="n">
        <v>1</v>
      </c>
      <c r="P465" t="n">
        <v>0</v>
      </c>
      <c r="Q465" t="n">
        <v>1</v>
      </c>
      <c r="R465" s="2" t="inlineStr">
        <is>
          <t>Slåtterfibbla</t>
        </is>
      </c>
      <c r="S465">
        <f>HYPERLINK("https://klasma.github.io/Logging_2181/artfynd/A 58774-2022 artfynd.xlsx", "A 58774-2022")</f>
        <v/>
      </c>
      <c r="T465">
        <f>HYPERLINK("https://klasma.github.io/Logging_2181/kartor/A 58774-2022 karta.png", "A 58774-2022")</f>
        <v/>
      </c>
      <c r="V465">
        <f>HYPERLINK("https://klasma.github.io/Logging_2181/klagomål/A 58774-2022 FSC-klagomål.docx", "A 58774-2022")</f>
        <v/>
      </c>
      <c r="W465">
        <f>HYPERLINK("https://klasma.github.io/Logging_2181/klagomålsmail/A 58774-2022 FSC-klagomål mail.docx", "A 58774-2022")</f>
        <v/>
      </c>
      <c r="X465">
        <f>HYPERLINK("https://klasma.github.io/Logging_2181/tillsyn/A 58774-2022 tillsynsbegäran.docx", "A 58774-2022")</f>
        <v/>
      </c>
      <c r="Y465">
        <f>HYPERLINK("https://klasma.github.io/Logging_2181/tillsynsmail/A 58774-2022 tillsynsbegäran mail.docx", "A 58774-2022")</f>
        <v/>
      </c>
    </row>
    <row r="466" ht="15" customHeight="1">
      <c r="A466" t="inlineStr">
        <is>
          <t>A 234-2023</t>
        </is>
      </c>
      <c r="B466" s="1" t="n">
        <v>44928</v>
      </c>
      <c r="C466" s="1" t="n">
        <v>45578</v>
      </c>
      <c r="D466" t="inlineStr">
        <is>
          <t>GÄVLEBORGS LÄN</t>
        </is>
      </c>
      <c r="E466" t="inlineStr">
        <is>
          <t>HOFORS</t>
        </is>
      </c>
      <c r="F466" t="inlineStr">
        <is>
          <t>Sveaskog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234-2023 artfynd.xlsx", "A 234-2023")</f>
        <v/>
      </c>
      <c r="T466">
        <f>HYPERLINK("https://klasma.github.io/Logging_2104/kartor/A 234-2023 karta.png", "A 234-2023")</f>
        <v/>
      </c>
      <c r="U466">
        <f>HYPERLINK("https://klasma.github.io/Logging_2104/knärot/A 234-2023 karta knärot.png", "A 234-2023")</f>
        <v/>
      </c>
      <c r="V466">
        <f>HYPERLINK("https://klasma.github.io/Logging_2104/klagomål/A 234-2023 FSC-klagomål.docx", "A 234-2023")</f>
        <v/>
      </c>
      <c r="W466">
        <f>HYPERLINK("https://klasma.github.io/Logging_2104/klagomålsmail/A 234-2023 FSC-klagomål mail.docx", "A 234-2023")</f>
        <v/>
      </c>
      <c r="X466">
        <f>HYPERLINK("https://klasma.github.io/Logging_2104/tillsyn/A 234-2023 tillsynsbegäran.docx", "A 234-2023")</f>
        <v/>
      </c>
      <c r="Y466">
        <f>HYPERLINK("https://klasma.github.io/Logging_2104/tillsynsmail/A 234-2023 tillsynsbegäran mail.docx", "A 234-2023")</f>
        <v/>
      </c>
    </row>
    <row r="467" ht="15" customHeight="1">
      <c r="A467" t="inlineStr">
        <is>
          <t>A 3755-2023</t>
        </is>
      </c>
      <c r="B467" s="1" t="n">
        <v>44951</v>
      </c>
      <c r="C467" s="1" t="n">
        <v>45578</v>
      </c>
      <c r="D467" t="inlineStr">
        <is>
          <t>GÄVLEBORGS LÄN</t>
        </is>
      </c>
      <c r="E467" t="inlineStr">
        <is>
          <t>NORDANSTIG</t>
        </is>
      </c>
      <c r="G467" t="n">
        <v>8.199999999999999</v>
      </c>
      <c r="H467" t="n">
        <v>1</v>
      </c>
      <c r="I467" t="n">
        <v>0</v>
      </c>
      <c r="J467" t="n">
        <v>0</v>
      </c>
      <c r="K467" t="n">
        <v>0</v>
      </c>
      <c r="L467" t="n">
        <v>1</v>
      </c>
      <c r="M467" t="n">
        <v>0</v>
      </c>
      <c r="N467" t="n">
        <v>0</v>
      </c>
      <c r="O467" t="n">
        <v>1</v>
      </c>
      <c r="P467" t="n">
        <v>1</v>
      </c>
      <c r="Q467" t="n">
        <v>1</v>
      </c>
      <c r="R467" s="2" t="inlineStr">
        <is>
          <t>Bredgentiana</t>
        </is>
      </c>
      <c r="S467">
        <f>HYPERLINK("https://klasma.github.io/Logging_2132/artfynd/A 3755-2023 artfynd.xlsx", "A 3755-2023")</f>
        <v/>
      </c>
      <c r="T467">
        <f>HYPERLINK("https://klasma.github.io/Logging_2132/kartor/A 3755-2023 karta.png", "A 3755-2023")</f>
        <v/>
      </c>
      <c r="V467">
        <f>HYPERLINK("https://klasma.github.io/Logging_2132/klagomål/A 3755-2023 FSC-klagomål.docx", "A 3755-2023")</f>
        <v/>
      </c>
      <c r="W467">
        <f>HYPERLINK("https://klasma.github.io/Logging_2132/klagomålsmail/A 3755-2023 FSC-klagomål mail.docx", "A 3755-2023")</f>
        <v/>
      </c>
      <c r="X467">
        <f>HYPERLINK("https://klasma.github.io/Logging_2132/tillsyn/A 3755-2023 tillsynsbegäran.docx", "A 3755-2023")</f>
        <v/>
      </c>
      <c r="Y467">
        <f>HYPERLINK("https://klasma.github.io/Logging_2132/tillsynsmail/A 3755-2023 tillsynsbegäran mail.docx", "A 3755-2023")</f>
        <v/>
      </c>
    </row>
    <row r="468" ht="15" customHeight="1">
      <c r="A468" t="inlineStr">
        <is>
          <t>A 4696-2023</t>
        </is>
      </c>
      <c r="B468" s="1" t="n">
        <v>44957</v>
      </c>
      <c r="C468" s="1" t="n">
        <v>45578</v>
      </c>
      <c r="D468" t="inlineStr">
        <is>
          <t>GÄVLEBORGS LÄN</t>
        </is>
      </c>
      <c r="E468" t="inlineStr">
        <is>
          <t>LJUSDAL</t>
        </is>
      </c>
      <c r="F468" t="inlineStr">
        <is>
          <t>Holmen skog AB</t>
        </is>
      </c>
      <c r="G468" t="n">
        <v>7.3</v>
      </c>
      <c r="H468" t="n">
        <v>0</v>
      </c>
      <c r="I468" t="n">
        <v>1</v>
      </c>
      <c r="J468" t="n">
        <v>0</v>
      </c>
      <c r="K468" t="n">
        <v>0</v>
      </c>
      <c r="L468" t="n">
        <v>0</v>
      </c>
      <c r="M468" t="n">
        <v>0</v>
      </c>
      <c r="N468" t="n">
        <v>0</v>
      </c>
      <c r="O468" t="n">
        <v>0</v>
      </c>
      <c r="P468" t="n">
        <v>0</v>
      </c>
      <c r="Q468" t="n">
        <v>1</v>
      </c>
      <c r="R468" s="2" t="inlineStr">
        <is>
          <t>Vedticka</t>
        </is>
      </c>
      <c r="S468">
        <f>HYPERLINK("https://klasma.github.io/Logging_2161/artfynd/A 4696-2023 artfynd.xlsx", "A 4696-2023")</f>
        <v/>
      </c>
      <c r="T468">
        <f>HYPERLINK("https://klasma.github.io/Logging_2161/kartor/A 4696-2023 karta.png", "A 4696-2023")</f>
        <v/>
      </c>
      <c r="V468">
        <f>HYPERLINK("https://klasma.github.io/Logging_2161/klagomål/A 4696-2023 FSC-klagomål.docx", "A 4696-2023")</f>
        <v/>
      </c>
      <c r="W468">
        <f>HYPERLINK("https://klasma.github.io/Logging_2161/klagomålsmail/A 4696-2023 FSC-klagomål mail.docx", "A 4696-2023")</f>
        <v/>
      </c>
      <c r="X468">
        <f>HYPERLINK("https://klasma.github.io/Logging_2161/tillsyn/A 4696-2023 tillsynsbegäran.docx", "A 4696-2023")</f>
        <v/>
      </c>
      <c r="Y468">
        <f>HYPERLINK("https://klasma.github.io/Logging_2161/tillsynsmail/A 4696-2023 tillsynsbegäran mail.docx", "A 4696-2023")</f>
        <v/>
      </c>
    </row>
    <row r="469" ht="15" customHeight="1">
      <c r="A469" t="inlineStr">
        <is>
          <t>A 5015-2023</t>
        </is>
      </c>
      <c r="B469" s="1" t="n">
        <v>44958</v>
      </c>
      <c r="C469" s="1" t="n">
        <v>45578</v>
      </c>
      <c r="D469" t="inlineStr">
        <is>
          <t>GÄVLEBORGS LÄN</t>
        </is>
      </c>
      <c r="E469" t="inlineStr">
        <is>
          <t>SANDVIKEN</t>
        </is>
      </c>
      <c r="G469" t="n">
        <v>7.8</v>
      </c>
      <c r="H469" t="n">
        <v>0</v>
      </c>
      <c r="I469" t="n">
        <v>0</v>
      </c>
      <c r="J469" t="n">
        <v>1</v>
      </c>
      <c r="K469" t="n">
        <v>0</v>
      </c>
      <c r="L469" t="n">
        <v>0</v>
      </c>
      <c r="M469" t="n">
        <v>0</v>
      </c>
      <c r="N469" t="n">
        <v>0</v>
      </c>
      <c r="O469" t="n">
        <v>1</v>
      </c>
      <c r="P469" t="n">
        <v>0</v>
      </c>
      <c r="Q469" t="n">
        <v>1</v>
      </c>
      <c r="R469" s="2" t="inlineStr">
        <is>
          <t>Slåtterfibbla</t>
        </is>
      </c>
      <c r="S469">
        <f>HYPERLINK("https://klasma.github.io/Logging_2181/artfynd/A 5015-2023 artfynd.xlsx", "A 5015-2023")</f>
        <v/>
      </c>
      <c r="T469">
        <f>HYPERLINK("https://klasma.github.io/Logging_2181/kartor/A 5015-2023 karta.png", "A 5015-2023")</f>
        <v/>
      </c>
      <c r="V469">
        <f>HYPERLINK("https://klasma.github.io/Logging_2181/klagomål/A 5015-2023 FSC-klagomål.docx", "A 5015-2023")</f>
        <v/>
      </c>
      <c r="W469">
        <f>HYPERLINK("https://klasma.github.io/Logging_2181/klagomålsmail/A 5015-2023 FSC-klagomål mail.docx", "A 5015-2023")</f>
        <v/>
      </c>
      <c r="X469">
        <f>HYPERLINK("https://klasma.github.io/Logging_2181/tillsyn/A 5015-2023 tillsynsbegäran.docx", "A 5015-2023")</f>
        <v/>
      </c>
      <c r="Y469">
        <f>HYPERLINK("https://klasma.github.io/Logging_2181/tillsynsmail/A 5015-2023 tillsynsbegäran mail.docx", "A 5015-2023")</f>
        <v/>
      </c>
    </row>
    <row r="470" ht="15" customHeight="1">
      <c r="A470" t="inlineStr">
        <is>
          <t>A 6378-2023</t>
        </is>
      </c>
      <c r="B470" s="1" t="n">
        <v>44965</v>
      </c>
      <c r="C470" s="1" t="n">
        <v>45578</v>
      </c>
      <c r="D470" t="inlineStr">
        <is>
          <t>GÄVLEBORGS LÄN</t>
        </is>
      </c>
      <c r="E470" t="inlineStr">
        <is>
          <t>SANDVIKEN</t>
        </is>
      </c>
      <c r="G470" t="n">
        <v>4</v>
      </c>
      <c r="H470" t="n">
        <v>1</v>
      </c>
      <c r="I470" t="n">
        <v>0</v>
      </c>
      <c r="J470" t="n">
        <v>1</v>
      </c>
      <c r="K470" t="n">
        <v>0</v>
      </c>
      <c r="L470" t="n">
        <v>0</v>
      </c>
      <c r="M470" t="n">
        <v>0</v>
      </c>
      <c r="N470" t="n">
        <v>0</v>
      </c>
      <c r="O470" t="n">
        <v>1</v>
      </c>
      <c r="P470" t="n">
        <v>0</v>
      </c>
      <c r="Q470" t="n">
        <v>1</v>
      </c>
      <c r="R470" s="2" t="inlineStr">
        <is>
          <t>Rödvingetrast</t>
        </is>
      </c>
      <c r="S470">
        <f>HYPERLINK("https://klasma.github.io/Logging_2181/artfynd/A 6378-2023 artfynd.xlsx", "A 6378-2023")</f>
        <v/>
      </c>
      <c r="T470">
        <f>HYPERLINK("https://klasma.github.io/Logging_2181/kartor/A 6378-2023 karta.png", "A 6378-2023")</f>
        <v/>
      </c>
      <c r="V470">
        <f>HYPERLINK("https://klasma.github.io/Logging_2181/klagomål/A 6378-2023 FSC-klagomål.docx", "A 6378-2023")</f>
        <v/>
      </c>
      <c r="W470">
        <f>HYPERLINK("https://klasma.github.io/Logging_2181/klagomålsmail/A 6378-2023 FSC-klagomål mail.docx", "A 6378-2023")</f>
        <v/>
      </c>
      <c r="X470">
        <f>HYPERLINK("https://klasma.github.io/Logging_2181/tillsyn/A 6378-2023 tillsynsbegäran.docx", "A 6378-2023")</f>
        <v/>
      </c>
      <c r="Y470">
        <f>HYPERLINK("https://klasma.github.io/Logging_2181/tillsynsmail/A 6378-2023 tillsynsbegäran mail.docx", "A 6378-2023")</f>
        <v/>
      </c>
      <c r="Z470">
        <f>HYPERLINK("https://klasma.github.io/Logging_2181/fåglar/A 6378-2023 prioriterade fågelarter.docx", "A 6378-2023")</f>
        <v/>
      </c>
    </row>
    <row r="471" ht="15" customHeight="1">
      <c r="A471" t="inlineStr">
        <is>
          <t>A 7148-2023</t>
        </is>
      </c>
      <c r="B471" s="1" t="n">
        <v>44970</v>
      </c>
      <c r="C471" s="1" t="n">
        <v>45578</v>
      </c>
      <c r="D471" t="inlineStr">
        <is>
          <t>GÄVLEBORGS LÄN</t>
        </is>
      </c>
      <c r="E471" t="inlineStr">
        <is>
          <t>LJUSDAL</t>
        </is>
      </c>
      <c r="F471" t="inlineStr">
        <is>
          <t>Holmen skog AB</t>
        </is>
      </c>
      <c r="G471" t="n">
        <v>4.9</v>
      </c>
      <c r="H471" t="n">
        <v>0</v>
      </c>
      <c r="I471" t="n">
        <v>1</v>
      </c>
      <c r="J471" t="n">
        <v>0</v>
      </c>
      <c r="K471" t="n">
        <v>0</v>
      </c>
      <c r="L471" t="n">
        <v>0</v>
      </c>
      <c r="M471" t="n">
        <v>0</v>
      </c>
      <c r="N471" t="n">
        <v>0</v>
      </c>
      <c r="O471" t="n">
        <v>0</v>
      </c>
      <c r="P471" t="n">
        <v>0</v>
      </c>
      <c r="Q471" t="n">
        <v>1</v>
      </c>
      <c r="R471" s="2" t="inlineStr">
        <is>
          <t>Vedticka</t>
        </is>
      </c>
      <c r="S471">
        <f>HYPERLINK("https://klasma.github.io/Logging_2161/artfynd/A 7148-2023 artfynd.xlsx", "A 7148-2023")</f>
        <v/>
      </c>
      <c r="T471">
        <f>HYPERLINK("https://klasma.github.io/Logging_2161/kartor/A 7148-2023 karta.png", "A 7148-2023")</f>
        <v/>
      </c>
      <c r="V471">
        <f>HYPERLINK("https://klasma.github.io/Logging_2161/klagomål/A 7148-2023 FSC-klagomål.docx", "A 7148-2023")</f>
        <v/>
      </c>
      <c r="W471">
        <f>HYPERLINK("https://klasma.github.io/Logging_2161/klagomålsmail/A 7148-2023 FSC-klagomål mail.docx", "A 7148-2023")</f>
        <v/>
      </c>
      <c r="X471">
        <f>HYPERLINK("https://klasma.github.io/Logging_2161/tillsyn/A 7148-2023 tillsynsbegäran.docx", "A 7148-2023")</f>
        <v/>
      </c>
      <c r="Y471">
        <f>HYPERLINK("https://klasma.github.io/Logging_2161/tillsynsmail/A 7148-2023 tillsynsbegäran mail.docx", "A 7148-2023")</f>
        <v/>
      </c>
    </row>
    <row r="472" ht="15" customHeight="1">
      <c r="A472" t="inlineStr">
        <is>
          <t>A 8078-2023</t>
        </is>
      </c>
      <c r="B472" s="1" t="n">
        <v>44974</v>
      </c>
      <c r="C472" s="1" t="n">
        <v>45578</v>
      </c>
      <c r="D472" t="inlineStr">
        <is>
          <t>GÄVLEBORGS LÄN</t>
        </is>
      </c>
      <c r="E472" t="inlineStr">
        <is>
          <t>LJUSDAL</t>
        </is>
      </c>
      <c r="G472" t="n">
        <v>19.1</v>
      </c>
      <c r="H472" t="n">
        <v>0</v>
      </c>
      <c r="I472" t="n">
        <v>0</v>
      </c>
      <c r="J472" t="n">
        <v>0</v>
      </c>
      <c r="K472" t="n">
        <v>1</v>
      </c>
      <c r="L472" t="n">
        <v>0</v>
      </c>
      <c r="M472" t="n">
        <v>0</v>
      </c>
      <c r="N472" t="n">
        <v>0</v>
      </c>
      <c r="O472" t="n">
        <v>1</v>
      </c>
      <c r="P472" t="n">
        <v>1</v>
      </c>
      <c r="Q472" t="n">
        <v>1</v>
      </c>
      <c r="R472" s="2" t="inlineStr">
        <is>
          <t>Gräddporing</t>
        </is>
      </c>
      <c r="S472">
        <f>HYPERLINK("https://klasma.github.io/Logging_2161/artfynd/A 8078-2023 artfynd.xlsx", "A 8078-2023")</f>
        <v/>
      </c>
      <c r="T472">
        <f>HYPERLINK("https://klasma.github.io/Logging_2161/kartor/A 8078-2023 karta.png", "A 8078-2023")</f>
        <v/>
      </c>
      <c r="V472">
        <f>HYPERLINK("https://klasma.github.io/Logging_2161/klagomål/A 8078-2023 FSC-klagomål.docx", "A 8078-2023")</f>
        <v/>
      </c>
      <c r="W472">
        <f>HYPERLINK("https://klasma.github.io/Logging_2161/klagomålsmail/A 8078-2023 FSC-klagomål mail.docx", "A 8078-2023")</f>
        <v/>
      </c>
      <c r="X472">
        <f>HYPERLINK("https://klasma.github.io/Logging_2161/tillsyn/A 8078-2023 tillsynsbegäran.docx", "A 8078-2023")</f>
        <v/>
      </c>
      <c r="Y472">
        <f>HYPERLINK("https://klasma.github.io/Logging_2161/tillsynsmail/A 8078-2023 tillsynsbegäran mail.docx", "A 8078-2023")</f>
        <v/>
      </c>
    </row>
    <row r="473" ht="15" customHeight="1">
      <c r="A473" t="inlineStr">
        <is>
          <t>A 8622-2023</t>
        </is>
      </c>
      <c r="B473" s="1" t="n">
        <v>44977</v>
      </c>
      <c r="C473" s="1" t="n">
        <v>45578</v>
      </c>
      <c r="D473" t="inlineStr">
        <is>
          <t>GÄVLEBORGS LÄN</t>
        </is>
      </c>
      <c r="E473" t="inlineStr">
        <is>
          <t>GÄVLE</t>
        </is>
      </c>
      <c r="G473" t="n">
        <v>9.199999999999999</v>
      </c>
      <c r="H473" t="n">
        <v>1</v>
      </c>
      <c r="I473" t="n">
        <v>0</v>
      </c>
      <c r="J473" t="n">
        <v>0</v>
      </c>
      <c r="K473" t="n">
        <v>1</v>
      </c>
      <c r="L473" t="n">
        <v>0</v>
      </c>
      <c r="M473" t="n">
        <v>0</v>
      </c>
      <c r="N473" t="n">
        <v>0</v>
      </c>
      <c r="O473" t="n">
        <v>1</v>
      </c>
      <c r="P473" t="n">
        <v>1</v>
      </c>
      <c r="Q473" t="n">
        <v>1</v>
      </c>
      <c r="R473" s="2" t="inlineStr">
        <is>
          <t>Knärot</t>
        </is>
      </c>
      <c r="S473">
        <f>HYPERLINK("https://klasma.github.io/Logging_2180/artfynd/A 8622-2023 artfynd.xlsx", "A 8622-2023")</f>
        <v/>
      </c>
      <c r="T473">
        <f>HYPERLINK("https://klasma.github.io/Logging_2180/kartor/A 8622-2023 karta.png", "A 8622-2023")</f>
        <v/>
      </c>
      <c r="U473">
        <f>HYPERLINK("https://klasma.github.io/Logging_2180/knärot/A 8622-2023 karta knärot.png", "A 8622-2023")</f>
        <v/>
      </c>
      <c r="V473">
        <f>HYPERLINK("https://klasma.github.io/Logging_2180/klagomål/A 8622-2023 FSC-klagomål.docx", "A 8622-2023")</f>
        <v/>
      </c>
      <c r="W473">
        <f>HYPERLINK("https://klasma.github.io/Logging_2180/klagomålsmail/A 8622-2023 FSC-klagomål mail.docx", "A 8622-2023")</f>
        <v/>
      </c>
      <c r="X473">
        <f>HYPERLINK("https://klasma.github.io/Logging_2180/tillsyn/A 8622-2023 tillsynsbegäran.docx", "A 8622-2023")</f>
        <v/>
      </c>
      <c r="Y473">
        <f>HYPERLINK("https://klasma.github.io/Logging_2180/tillsynsmail/A 8622-2023 tillsynsbegäran mail.docx", "A 8622-2023")</f>
        <v/>
      </c>
    </row>
    <row r="474" ht="15" customHeight="1">
      <c r="A474" t="inlineStr">
        <is>
          <t>A 8636-2023</t>
        </is>
      </c>
      <c r="B474" s="1" t="n">
        <v>44977</v>
      </c>
      <c r="C474" s="1" t="n">
        <v>45578</v>
      </c>
      <c r="D474" t="inlineStr">
        <is>
          <t>GÄVLEBORGS LÄN</t>
        </is>
      </c>
      <c r="E474" t="inlineStr">
        <is>
          <t>HUDIKSVALL</t>
        </is>
      </c>
      <c r="G474" t="n">
        <v>2.7</v>
      </c>
      <c r="H474" t="n">
        <v>1</v>
      </c>
      <c r="I474" t="n">
        <v>0</v>
      </c>
      <c r="J474" t="n">
        <v>0</v>
      </c>
      <c r="K474" t="n">
        <v>0</v>
      </c>
      <c r="L474" t="n">
        <v>0</v>
      </c>
      <c r="M474" t="n">
        <v>0</v>
      </c>
      <c r="N474" t="n">
        <v>0</v>
      </c>
      <c r="O474" t="n">
        <v>0</v>
      </c>
      <c r="P474" t="n">
        <v>0</v>
      </c>
      <c r="Q474" t="n">
        <v>1</v>
      </c>
      <c r="R474" s="2" t="inlineStr">
        <is>
          <t>Fläcknycklar</t>
        </is>
      </c>
      <c r="S474">
        <f>HYPERLINK("https://klasma.github.io/Logging_2184/artfynd/A 8636-2023 artfynd.xlsx", "A 8636-2023")</f>
        <v/>
      </c>
      <c r="T474">
        <f>HYPERLINK("https://klasma.github.io/Logging_2184/kartor/A 8636-2023 karta.png", "A 8636-2023")</f>
        <v/>
      </c>
      <c r="V474">
        <f>HYPERLINK("https://klasma.github.io/Logging_2184/klagomål/A 8636-2023 FSC-klagomål.docx", "A 8636-2023")</f>
        <v/>
      </c>
      <c r="W474">
        <f>HYPERLINK("https://klasma.github.io/Logging_2184/klagomålsmail/A 8636-2023 FSC-klagomål mail.docx", "A 8636-2023")</f>
        <v/>
      </c>
      <c r="X474">
        <f>HYPERLINK("https://klasma.github.io/Logging_2184/tillsyn/A 8636-2023 tillsynsbegäran.docx", "A 8636-2023")</f>
        <v/>
      </c>
      <c r="Y474">
        <f>HYPERLINK("https://klasma.github.io/Logging_2184/tillsynsmail/A 8636-2023 tillsynsbegäran mail.docx", "A 8636-2023")</f>
        <v/>
      </c>
    </row>
    <row r="475" ht="15" customHeight="1">
      <c r="A475" t="inlineStr">
        <is>
          <t>A 9312-2023</t>
        </is>
      </c>
      <c r="B475" s="1" t="n">
        <v>44980</v>
      </c>
      <c r="C475" s="1" t="n">
        <v>45578</v>
      </c>
      <c r="D475" t="inlineStr">
        <is>
          <t>GÄVLEBORGS LÄN</t>
        </is>
      </c>
      <c r="E475" t="inlineStr">
        <is>
          <t>NORDANSTIG</t>
        </is>
      </c>
      <c r="F475" t="inlineStr">
        <is>
          <t>Holmen skog AB</t>
        </is>
      </c>
      <c r="G475" t="n">
        <v>11.7</v>
      </c>
      <c r="H475" t="n">
        <v>0</v>
      </c>
      <c r="I475" t="n">
        <v>0</v>
      </c>
      <c r="J475" t="n">
        <v>1</v>
      </c>
      <c r="K475" t="n">
        <v>0</v>
      </c>
      <c r="L475" t="n">
        <v>0</v>
      </c>
      <c r="M475" t="n">
        <v>0</v>
      </c>
      <c r="N475" t="n">
        <v>0</v>
      </c>
      <c r="O475" t="n">
        <v>1</v>
      </c>
      <c r="P475" t="n">
        <v>0</v>
      </c>
      <c r="Q475" t="n">
        <v>1</v>
      </c>
      <c r="R475" s="2" t="inlineStr">
        <is>
          <t>Vedtrappmossa</t>
        </is>
      </c>
      <c r="S475">
        <f>HYPERLINK("https://klasma.github.io/Logging_2132/artfynd/A 9312-2023 artfynd.xlsx", "A 9312-2023")</f>
        <v/>
      </c>
      <c r="T475">
        <f>HYPERLINK("https://klasma.github.io/Logging_2132/kartor/A 9312-2023 karta.png", "A 9312-2023")</f>
        <v/>
      </c>
      <c r="V475">
        <f>HYPERLINK("https://klasma.github.io/Logging_2132/klagomål/A 9312-2023 FSC-klagomål.docx", "A 9312-2023")</f>
        <v/>
      </c>
      <c r="W475">
        <f>HYPERLINK("https://klasma.github.io/Logging_2132/klagomålsmail/A 9312-2023 FSC-klagomål mail.docx", "A 9312-2023")</f>
        <v/>
      </c>
      <c r="X475">
        <f>HYPERLINK("https://klasma.github.io/Logging_2132/tillsyn/A 9312-2023 tillsynsbegäran.docx", "A 9312-2023")</f>
        <v/>
      </c>
      <c r="Y475">
        <f>HYPERLINK("https://klasma.github.io/Logging_2132/tillsynsmail/A 9312-2023 tillsynsbegäran mail.docx", "A 9312-2023")</f>
        <v/>
      </c>
    </row>
    <row r="476" ht="15" customHeight="1">
      <c r="A476" t="inlineStr">
        <is>
          <t>A 10646-2023</t>
        </is>
      </c>
      <c r="B476" s="1" t="n">
        <v>44988</v>
      </c>
      <c r="C476" s="1" t="n">
        <v>45578</v>
      </c>
      <c r="D476" t="inlineStr">
        <is>
          <t>GÄVLEBORGS LÄN</t>
        </is>
      </c>
      <c r="E476" t="inlineStr">
        <is>
          <t>LJUSDAL</t>
        </is>
      </c>
      <c r="G476" t="n">
        <v>3.5</v>
      </c>
      <c r="H476" t="n">
        <v>0</v>
      </c>
      <c r="I476" t="n">
        <v>0</v>
      </c>
      <c r="J476" t="n">
        <v>1</v>
      </c>
      <c r="K476" t="n">
        <v>0</v>
      </c>
      <c r="L476" t="n">
        <v>0</v>
      </c>
      <c r="M476" t="n">
        <v>0</v>
      </c>
      <c r="N476" t="n">
        <v>0</v>
      </c>
      <c r="O476" t="n">
        <v>1</v>
      </c>
      <c r="P476" t="n">
        <v>0</v>
      </c>
      <c r="Q476" t="n">
        <v>1</v>
      </c>
      <c r="R476" s="2" t="inlineStr">
        <is>
          <t>Garnlav</t>
        </is>
      </c>
      <c r="S476">
        <f>HYPERLINK("https://klasma.github.io/Logging_2161/artfynd/A 10646-2023 artfynd.xlsx", "A 10646-2023")</f>
        <v/>
      </c>
      <c r="T476">
        <f>HYPERLINK("https://klasma.github.io/Logging_2161/kartor/A 10646-2023 karta.png", "A 10646-2023")</f>
        <v/>
      </c>
      <c r="V476">
        <f>HYPERLINK("https://klasma.github.io/Logging_2161/klagomål/A 10646-2023 FSC-klagomål.docx", "A 10646-2023")</f>
        <v/>
      </c>
      <c r="W476">
        <f>HYPERLINK("https://klasma.github.io/Logging_2161/klagomålsmail/A 10646-2023 FSC-klagomål mail.docx", "A 10646-2023")</f>
        <v/>
      </c>
      <c r="X476">
        <f>HYPERLINK("https://klasma.github.io/Logging_2161/tillsyn/A 10646-2023 tillsynsbegäran.docx", "A 10646-2023")</f>
        <v/>
      </c>
      <c r="Y476">
        <f>HYPERLINK("https://klasma.github.io/Logging_2161/tillsynsmail/A 10646-2023 tillsynsbegäran mail.docx", "A 10646-2023")</f>
        <v/>
      </c>
    </row>
    <row r="477" ht="15" customHeight="1">
      <c r="A477" t="inlineStr">
        <is>
          <t>A 13742-2023</t>
        </is>
      </c>
      <c r="B477" s="1" t="n">
        <v>45007</v>
      </c>
      <c r="C477" s="1" t="n">
        <v>45578</v>
      </c>
      <c r="D477" t="inlineStr">
        <is>
          <t>GÄVLEBORGS LÄN</t>
        </is>
      </c>
      <c r="E477" t="inlineStr">
        <is>
          <t>HOFORS</t>
        </is>
      </c>
      <c r="F477" t="inlineStr">
        <is>
          <t>Övriga statliga verk och myndigheter</t>
        </is>
      </c>
      <c r="G477" t="n">
        <v>1</v>
      </c>
      <c r="H477" t="n">
        <v>1</v>
      </c>
      <c r="I477" t="n">
        <v>0</v>
      </c>
      <c r="J477" t="n">
        <v>1</v>
      </c>
      <c r="K477" t="n">
        <v>0</v>
      </c>
      <c r="L477" t="n">
        <v>0</v>
      </c>
      <c r="M477" t="n">
        <v>0</v>
      </c>
      <c r="N477" t="n">
        <v>0</v>
      </c>
      <c r="O477" t="n">
        <v>1</v>
      </c>
      <c r="P477" t="n">
        <v>0</v>
      </c>
      <c r="Q477" t="n">
        <v>1</v>
      </c>
      <c r="R477" s="2" t="inlineStr">
        <is>
          <t>Spillkråka</t>
        </is>
      </c>
      <c r="S477">
        <f>HYPERLINK("https://klasma.github.io/Logging_2104/artfynd/A 13742-2023 artfynd.xlsx", "A 13742-2023")</f>
        <v/>
      </c>
      <c r="T477">
        <f>HYPERLINK("https://klasma.github.io/Logging_2104/kartor/A 13742-2023 karta.png", "A 13742-2023")</f>
        <v/>
      </c>
      <c r="V477">
        <f>HYPERLINK("https://klasma.github.io/Logging_2104/klagomål/A 13742-2023 FSC-klagomål.docx", "A 13742-2023")</f>
        <v/>
      </c>
      <c r="W477">
        <f>HYPERLINK("https://klasma.github.io/Logging_2104/klagomålsmail/A 13742-2023 FSC-klagomål mail.docx", "A 13742-2023")</f>
        <v/>
      </c>
      <c r="X477">
        <f>HYPERLINK("https://klasma.github.io/Logging_2104/tillsyn/A 13742-2023 tillsynsbegäran.docx", "A 13742-2023")</f>
        <v/>
      </c>
      <c r="Y477">
        <f>HYPERLINK("https://klasma.github.io/Logging_2104/tillsynsmail/A 13742-2023 tillsynsbegäran mail.docx", "A 13742-2023")</f>
        <v/>
      </c>
      <c r="Z477">
        <f>HYPERLINK("https://klasma.github.io/Logging_2104/fåglar/A 13742-2023 prioriterade fågelarter.docx", "A 13742-2023")</f>
        <v/>
      </c>
    </row>
    <row r="478" ht="15" customHeight="1">
      <c r="A478" t="inlineStr">
        <is>
          <t>A 13741-2023</t>
        </is>
      </c>
      <c r="B478" s="1" t="n">
        <v>45007</v>
      </c>
      <c r="C478" s="1" t="n">
        <v>45578</v>
      </c>
      <c r="D478" t="inlineStr">
        <is>
          <t>GÄVLEBORGS LÄN</t>
        </is>
      </c>
      <c r="E478" t="inlineStr">
        <is>
          <t>HOFORS</t>
        </is>
      </c>
      <c r="F478" t="inlineStr">
        <is>
          <t>Övriga statliga verk och myndigheter</t>
        </is>
      </c>
      <c r="G478" t="n">
        <v>1.6</v>
      </c>
      <c r="H478" t="n">
        <v>0</v>
      </c>
      <c r="I478" t="n">
        <v>1</v>
      </c>
      <c r="J478" t="n">
        <v>0</v>
      </c>
      <c r="K478" t="n">
        <v>0</v>
      </c>
      <c r="L478" t="n">
        <v>0</v>
      </c>
      <c r="M478" t="n">
        <v>0</v>
      </c>
      <c r="N478" t="n">
        <v>0</v>
      </c>
      <c r="O478" t="n">
        <v>0</v>
      </c>
      <c r="P478" t="n">
        <v>0</v>
      </c>
      <c r="Q478" t="n">
        <v>1</v>
      </c>
      <c r="R478" s="2" t="inlineStr">
        <is>
          <t>Skarp dropptaggsvamp</t>
        </is>
      </c>
      <c r="S478">
        <f>HYPERLINK("https://klasma.github.io/Logging_2104/artfynd/A 13741-2023 artfynd.xlsx", "A 13741-2023")</f>
        <v/>
      </c>
      <c r="T478">
        <f>HYPERLINK("https://klasma.github.io/Logging_2104/kartor/A 13741-2023 karta.png", "A 13741-2023")</f>
        <v/>
      </c>
      <c r="V478">
        <f>HYPERLINK("https://klasma.github.io/Logging_2104/klagomål/A 13741-2023 FSC-klagomål.docx", "A 13741-2023")</f>
        <v/>
      </c>
      <c r="W478">
        <f>HYPERLINK("https://klasma.github.io/Logging_2104/klagomålsmail/A 13741-2023 FSC-klagomål mail.docx", "A 13741-2023")</f>
        <v/>
      </c>
      <c r="X478">
        <f>HYPERLINK("https://klasma.github.io/Logging_2104/tillsyn/A 13741-2023 tillsynsbegäran.docx", "A 13741-2023")</f>
        <v/>
      </c>
      <c r="Y478">
        <f>HYPERLINK("https://klasma.github.io/Logging_2104/tillsynsmail/A 13741-2023 tillsynsbegäran mail.docx", "A 13741-2023")</f>
        <v/>
      </c>
    </row>
    <row r="479" ht="15" customHeight="1">
      <c r="A479" t="inlineStr">
        <is>
          <t>A 14449-2023</t>
        </is>
      </c>
      <c r="B479" s="1" t="n">
        <v>45012</v>
      </c>
      <c r="C479" s="1" t="n">
        <v>45578</v>
      </c>
      <c r="D479" t="inlineStr">
        <is>
          <t>GÄVLEBORGS LÄN</t>
        </is>
      </c>
      <c r="E479" t="inlineStr">
        <is>
          <t>HUDIKSVALL</t>
        </is>
      </c>
      <c r="G479" t="n">
        <v>1.5</v>
      </c>
      <c r="H479" t="n">
        <v>1</v>
      </c>
      <c r="I479" t="n">
        <v>0</v>
      </c>
      <c r="J479" t="n">
        <v>0</v>
      </c>
      <c r="K479" t="n">
        <v>1</v>
      </c>
      <c r="L479" t="n">
        <v>0</v>
      </c>
      <c r="M479" t="n">
        <v>0</v>
      </c>
      <c r="N479" t="n">
        <v>0</v>
      </c>
      <c r="O479" t="n">
        <v>1</v>
      </c>
      <c r="P479" t="n">
        <v>1</v>
      </c>
      <c r="Q479" t="n">
        <v>1</v>
      </c>
      <c r="R479" s="2" t="inlineStr">
        <is>
          <t>Knärot</t>
        </is>
      </c>
      <c r="S479">
        <f>HYPERLINK("https://klasma.github.io/Logging_2184/artfynd/A 14449-2023 artfynd.xlsx", "A 14449-2023")</f>
        <v/>
      </c>
      <c r="T479">
        <f>HYPERLINK("https://klasma.github.io/Logging_2184/kartor/A 14449-2023 karta.png", "A 14449-2023")</f>
        <v/>
      </c>
      <c r="U479">
        <f>HYPERLINK("https://klasma.github.io/Logging_2184/knärot/A 14449-2023 karta knärot.png", "A 14449-2023")</f>
        <v/>
      </c>
      <c r="V479">
        <f>HYPERLINK("https://klasma.github.io/Logging_2184/klagomål/A 14449-2023 FSC-klagomål.docx", "A 14449-2023")</f>
        <v/>
      </c>
      <c r="W479">
        <f>HYPERLINK("https://klasma.github.io/Logging_2184/klagomålsmail/A 14449-2023 FSC-klagomål mail.docx", "A 14449-2023")</f>
        <v/>
      </c>
      <c r="X479">
        <f>HYPERLINK("https://klasma.github.io/Logging_2184/tillsyn/A 14449-2023 tillsynsbegäran.docx", "A 14449-2023")</f>
        <v/>
      </c>
      <c r="Y479">
        <f>HYPERLINK("https://klasma.github.io/Logging_2184/tillsynsmail/A 14449-2023 tillsynsbegäran mail.docx", "A 14449-2023")</f>
        <v/>
      </c>
    </row>
    <row r="480" ht="15" customHeight="1">
      <c r="A480" t="inlineStr">
        <is>
          <t>A 14358-2023</t>
        </is>
      </c>
      <c r="B480" s="1" t="n">
        <v>45012</v>
      </c>
      <c r="C480" s="1" t="n">
        <v>45578</v>
      </c>
      <c r="D480" t="inlineStr">
        <is>
          <t>GÄVLEBORGS LÄN</t>
        </is>
      </c>
      <c r="E480" t="inlineStr">
        <is>
          <t>HOFORS</t>
        </is>
      </c>
      <c r="F480" t="inlineStr">
        <is>
          <t>Övriga statliga verk och myndigheter</t>
        </is>
      </c>
      <c r="G480" t="n">
        <v>1.2</v>
      </c>
      <c r="H480" t="n">
        <v>0</v>
      </c>
      <c r="I480" t="n">
        <v>1</v>
      </c>
      <c r="J480" t="n">
        <v>0</v>
      </c>
      <c r="K480" t="n">
        <v>0</v>
      </c>
      <c r="L480" t="n">
        <v>0</v>
      </c>
      <c r="M480" t="n">
        <v>0</v>
      </c>
      <c r="N480" t="n">
        <v>0</v>
      </c>
      <c r="O480" t="n">
        <v>0</v>
      </c>
      <c r="P480" t="n">
        <v>0</v>
      </c>
      <c r="Q480" t="n">
        <v>1</v>
      </c>
      <c r="R480" s="2" t="inlineStr">
        <is>
          <t>Bronshjon</t>
        </is>
      </c>
      <c r="S480">
        <f>HYPERLINK("https://klasma.github.io/Logging_2104/artfynd/A 14358-2023 artfynd.xlsx", "A 14358-2023")</f>
        <v/>
      </c>
      <c r="T480">
        <f>HYPERLINK("https://klasma.github.io/Logging_2104/kartor/A 14358-2023 karta.png", "A 14358-2023")</f>
        <v/>
      </c>
      <c r="V480">
        <f>HYPERLINK("https://klasma.github.io/Logging_2104/klagomål/A 14358-2023 FSC-klagomål.docx", "A 14358-2023")</f>
        <v/>
      </c>
      <c r="W480">
        <f>HYPERLINK("https://klasma.github.io/Logging_2104/klagomålsmail/A 14358-2023 FSC-klagomål mail.docx", "A 14358-2023")</f>
        <v/>
      </c>
      <c r="X480">
        <f>HYPERLINK("https://klasma.github.io/Logging_2104/tillsyn/A 14358-2023 tillsynsbegäran.docx", "A 14358-2023")</f>
        <v/>
      </c>
      <c r="Y480">
        <f>HYPERLINK("https://klasma.github.io/Logging_2104/tillsynsmail/A 14358-2023 tillsynsbegäran mail.docx", "A 14358-2023")</f>
        <v/>
      </c>
    </row>
    <row r="481" ht="15" customHeight="1">
      <c r="A481" t="inlineStr">
        <is>
          <t>A 15841-2023</t>
        </is>
      </c>
      <c r="B481" s="1" t="n">
        <v>45022</v>
      </c>
      <c r="C481" s="1" t="n">
        <v>45578</v>
      </c>
      <c r="D481" t="inlineStr">
        <is>
          <t>GÄVLEBORGS LÄN</t>
        </is>
      </c>
      <c r="E481" t="inlineStr">
        <is>
          <t>OCKELBO</t>
        </is>
      </c>
      <c r="F481" t="inlineStr">
        <is>
          <t>Bergvik skog väst AB</t>
        </is>
      </c>
      <c r="G481" t="n">
        <v>2.1</v>
      </c>
      <c r="H481" t="n">
        <v>1</v>
      </c>
      <c r="I481" t="n">
        <v>0</v>
      </c>
      <c r="J481" t="n">
        <v>1</v>
      </c>
      <c r="K481" t="n">
        <v>0</v>
      </c>
      <c r="L481" t="n">
        <v>0</v>
      </c>
      <c r="M481" t="n">
        <v>0</v>
      </c>
      <c r="N481" t="n">
        <v>0</v>
      </c>
      <c r="O481" t="n">
        <v>1</v>
      </c>
      <c r="P481" t="n">
        <v>0</v>
      </c>
      <c r="Q481" t="n">
        <v>1</v>
      </c>
      <c r="R481" s="2" t="inlineStr">
        <is>
          <t>Havsörn</t>
        </is>
      </c>
      <c r="S481">
        <f>HYPERLINK("https://klasma.github.io/Logging_2101/artfynd/A 15841-2023 artfynd.xlsx", "A 15841-2023")</f>
        <v/>
      </c>
      <c r="T481">
        <f>HYPERLINK("https://klasma.github.io/Logging_2101/kartor/A 15841-2023 karta.png", "A 15841-2023")</f>
        <v/>
      </c>
      <c r="V481">
        <f>HYPERLINK("https://klasma.github.io/Logging_2101/klagomål/A 15841-2023 FSC-klagomål.docx", "A 15841-2023")</f>
        <v/>
      </c>
      <c r="W481">
        <f>HYPERLINK("https://klasma.github.io/Logging_2101/klagomålsmail/A 15841-2023 FSC-klagomål mail.docx", "A 15841-2023")</f>
        <v/>
      </c>
      <c r="X481">
        <f>HYPERLINK("https://klasma.github.io/Logging_2101/tillsyn/A 15841-2023 tillsynsbegäran.docx", "A 15841-2023")</f>
        <v/>
      </c>
      <c r="Y481">
        <f>HYPERLINK("https://klasma.github.io/Logging_2101/tillsynsmail/A 15841-2023 tillsynsbegäran mail.docx", "A 15841-2023")</f>
        <v/>
      </c>
      <c r="Z481">
        <f>HYPERLINK("https://klasma.github.io/Logging_2101/fåglar/A 15841-2023 prioriterade fågelarter.docx", "A 15841-2023")</f>
        <v/>
      </c>
    </row>
    <row r="482" ht="15" customHeight="1">
      <c r="A482" t="inlineStr">
        <is>
          <t>A 18683-2023</t>
        </is>
      </c>
      <c r="B482" s="1" t="n">
        <v>45043</v>
      </c>
      <c r="C482" s="1" t="n">
        <v>45578</v>
      </c>
      <c r="D482" t="inlineStr">
        <is>
          <t>GÄVLEBORGS LÄN</t>
        </is>
      </c>
      <c r="E482" t="inlineStr">
        <is>
          <t>HOFORS</t>
        </is>
      </c>
      <c r="G482" t="n">
        <v>32.2</v>
      </c>
      <c r="H482" t="n">
        <v>1</v>
      </c>
      <c r="I482" t="n">
        <v>0</v>
      </c>
      <c r="J482" t="n">
        <v>0</v>
      </c>
      <c r="K482" t="n">
        <v>0</v>
      </c>
      <c r="L482" t="n">
        <v>0</v>
      </c>
      <c r="M482" t="n">
        <v>0</v>
      </c>
      <c r="N482" t="n">
        <v>0</v>
      </c>
      <c r="O482" t="n">
        <v>0</v>
      </c>
      <c r="P482" t="n">
        <v>0</v>
      </c>
      <c r="Q482" t="n">
        <v>1</v>
      </c>
      <c r="R482" s="2" t="inlineStr">
        <is>
          <t>Blåsippa</t>
        </is>
      </c>
      <c r="S482">
        <f>HYPERLINK("https://klasma.github.io/Logging_2104/artfynd/A 18683-2023 artfynd.xlsx", "A 18683-2023")</f>
        <v/>
      </c>
      <c r="T482">
        <f>HYPERLINK("https://klasma.github.io/Logging_2104/kartor/A 18683-2023 karta.png", "A 18683-2023")</f>
        <v/>
      </c>
      <c r="V482">
        <f>HYPERLINK("https://klasma.github.io/Logging_2104/klagomål/A 18683-2023 FSC-klagomål.docx", "A 18683-2023")</f>
        <v/>
      </c>
      <c r="W482">
        <f>HYPERLINK("https://klasma.github.io/Logging_2104/klagomålsmail/A 18683-2023 FSC-klagomål mail.docx", "A 18683-2023")</f>
        <v/>
      </c>
      <c r="X482">
        <f>HYPERLINK("https://klasma.github.io/Logging_2104/tillsyn/A 18683-2023 tillsynsbegäran.docx", "A 18683-2023")</f>
        <v/>
      </c>
      <c r="Y482">
        <f>HYPERLINK("https://klasma.github.io/Logging_2104/tillsynsmail/A 18683-2023 tillsynsbegäran mail.docx", "A 18683-2023")</f>
        <v/>
      </c>
    </row>
    <row r="483" ht="15" customHeight="1">
      <c r="A483" t="inlineStr">
        <is>
          <t>A 20661-2023</t>
        </is>
      </c>
      <c r="B483" s="1" t="n">
        <v>45058</v>
      </c>
      <c r="C483" s="1" t="n">
        <v>45578</v>
      </c>
      <c r="D483" t="inlineStr">
        <is>
          <t>GÄVLEBORGS LÄN</t>
        </is>
      </c>
      <c r="E483" t="inlineStr">
        <is>
          <t>OVANÅKER</t>
        </is>
      </c>
      <c r="F483" t="inlineStr">
        <is>
          <t>Sveaskog</t>
        </is>
      </c>
      <c r="G483" t="n">
        <v>3.6</v>
      </c>
      <c r="H483" t="n">
        <v>1</v>
      </c>
      <c r="I483" t="n">
        <v>0</v>
      </c>
      <c r="J483" t="n">
        <v>0</v>
      </c>
      <c r="K483" t="n">
        <v>0</v>
      </c>
      <c r="L483" t="n">
        <v>0</v>
      </c>
      <c r="M483" t="n">
        <v>0</v>
      </c>
      <c r="N483" t="n">
        <v>0</v>
      </c>
      <c r="O483" t="n">
        <v>0</v>
      </c>
      <c r="P483" t="n">
        <v>0</v>
      </c>
      <c r="Q483" t="n">
        <v>1</v>
      </c>
      <c r="R483" s="2" t="inlineStr">
        <is>
          <t>Blåsippa</t>
        </is>
      </c>
      <c r="S483">
        <f>HYPERLINK("https://klasma.github.io/Logging_2121/artfynd/A 20661-2023 artfynd.xlsx", "A 20661-2023")</f>
        <v/>
      </c>
      <c r="T483">
        <f>HYPERLINK("https://klasma.github.io/Logging_2121/kartor/A 20661-2023 karta.png", "A 20661-2023")</f>
        <v/>
      </c>
      <c r="V483">
        <f>HYPERLINK("https://klasma.github.io/Logging_2121/klagomål/A 20661-2023 FSC-klagomål.docx", "A 20661-2023")</f>
        <v/>
      </c>
      <c r="W483">
        <f>HYPERLINK("https://klasma.github.io/Logging_2121/klagomålsmail/A 20661-2023 FSC-klagomål mail.docx", "A 20661-2023")</f>
        <v/>
      </c>
      <c r="X483">
        <f>HYPERLINK("https://klasma.github.io/Logging_2121/tillsyn/A 20661-2023 tillsynsbegäran.docx", "A 20661-2023")</f>
        <v/>
      </c>
      <c r="Y483">
        <f>HYPERLINK("https://klasma.github.io/Logging_2121/tillsynsmail/A 20661-2023 tillsynsbegäran mail.docx", "A 20661-2023")</f>
        <v/>
      </c>
    </row>
    <row r="484" ht="15" customHeight="1">
      <c r="A484" t="inlineStr">
        <is>
          <t>A 21030-2023</t>
        </is>
      </c>
      <c r="B484" s="1" t="n">
        <v>45061</v>
      </c>
      <c r="C484" s="1" t="n">
        <v>45578</v>
      </c>
      <c r="D484" t="inlineStr">
        <is>
          <t>GÄVLEBORGS LÄN</t>
        </is>
      </c>
      <c r="E484" t="inlineStr">
        <is>
          <t>HOFORS</t>
        </is>
      </c>
      <c r="G484" t="n">
        <v>6.8</v>
      </c>
      <c r="H484" t="n">
        <v>1</v>
      </c>
      <c r="I484" t="n">
        <v>0</v>
      </c>
      <c r="J484" t="n">
        <v>0</v>
      </c>
      <c r="K484" t="n">
        <v>1</v>
      </c>
      <c r="L484" t="n">
        <v>0</v>
      </c>
      <c r="M484" t="n">
        <v>0</v>
      </c>
      <c r="N484" t="n">
        <v>0</v>
      </c>
      <c r="O484" t="n">
        <v>1</v>
      </c>
      <c r="P484" t="n">
        <v>1</v>
      </c>
      <c r="Q484" t="n">
        <v>1</v>
      </c>
      <c r="R484" s="2" t="inlineStr">
        <is>
          <t>Havstrut</t>
        </is>
      </c>
      <c r="S484">
        <f>HYPERLINK("https://klasma.github.io/Logging_2104/artfynd/A 21030-2023 artfynd.xlsx", "A 21030-2023")</f>
        <v/>
      </c>
      <c r="T484">
        <f>HYPERLINK("https://klasma.github.io/Logging_2104/kartor/A 21030-2023 karta.png", "A 21030-2023")</f>
        <v/>
      </c>
      <c r="V484">
        <f>HYPERLINK("https://klasma.github.io/Logging_2104/klagomål/A 21030-2023 FSC-klagomål.docx", "A 21030-2023")</f>
        <v/>
      </c>
      <c r="W484">
        <f>HYPERLINK("https://klasma.github.io/Logging_2104/klagomålsmail/A 21030-2023 FSC-klagomål mail.docx", "A 21030-2023")</f>
        <v/>
      </c>
      <c r="X484">
        <f>HYPERLINK("https://klasma.github.io/Logging_2104/tillsyn/A 21030-2023 tillsynsbegäran.docx", "A 21030-2023")</f>
        <v/>
      </c>
      <c r="Y484">
        <f>HYPERLINK("https://klasma.github.io/Logging_2104/tillsynsmail/A 21030-2023 tillsynsbegäran mail.docx", "A 21030-2023")</f>
        <v/>
      </c>
    </row>
    <row r="485" ht="15" customHeight="1">
      <c r="A485" t="inlineStr">
        <is>
          <t>A 21245-2023</t>
        </is>
      </c>
      <c r="B485" s="1" t="n">
        <v>45062</v>
      </c>
      <c r="C485" s="1" t="n">
        <v>45578</v>
      </c>
      <c r="D485" t="inlineStr">
        <is>
          <t>GÄVLEBORGS LÄN</t>
        </is>
      </c>
      <c r="E485" t="inlineStr">
        <is>
          <t>OCKELBO</t>
        </is>
      </c>
      <c r="F485" t="inlineStr">
        <is>
          <t>Bergvik skog väst AB</t>
        </is>
      </c>
      <c r="G485" t="n">
        <v>21.7</v>
      </c>
      <c r="H485" t="n">
        <v>1</v>
      </c>
      <c r="I485" t="n">
        <v>0</v>
      </c>
      <c r="J485" t="n">
        <v>0</v>
      </c>
      <c r="K485" t="n">
        <v>0</v>
      </c>
      <c r="L485" t="n">
        <v>0</v>
      </c>
      <c r="M485" t="n">
        <v>0</v>
      </c>
      <c r="N485" t="n">
        <v>0</v>
      </c>
      <c r="O485" t="n">
        <v>0</v>
      </c>
      <c r="P485" t="n">
        <v>0</v>
      </c>
      <c r="Q485" t="n">
        <v>1</v>
      </c>
      <c r="R485" s="2" t="inlineStr">
        <is>
          <t>Tjäder</t>
        </is>
      </c>
      <c r="S485">
        <f>HYPERLINK("https://klasma.github.io/Logging_2101/artfynd/A 21245-2023 artfynd.xlsx", "A 21245-2023")</f>
        <v/>
      </c>
      <c r="T485">
        <f>HYPERLINK("https://klasma.github.io/Logging_2101/kartor/A 21245-2023 karta.png", "A 21245-2023")</f>
        <v/>
      </c>
      <c r="V485">
        <f>HYPERLINK("https://klasma.github.io/Logging_2101/klagomål/A 21245-2023 FSC-klagomål.docx", "A 21245-2023")</f>
        <v/>
      </c>
      <c r="W485">
        <f>HYPERLINK("https://klasma.github.io/Logging_2101/klagomålsmail/A 21245-2023 FSC-klagomål mail.docx", "A 21245-2023")</f>
        <v/>
      </c>
      <c r="X485">
        <f>HYPERLINK("https://klasma.github.io/Logging_2101/tillsyn/A 21245-2023 tillsynsbegäran.docx", "A 21245-2023")</f>
        <v/>
      </c>
      <c r="Y485">
        <f>HYPERLINK("https://klasma.github.io/Logging_2101/tillsynsmail/A 21245-2023 tillsynsbegäran mail.docx", "A 21245-2023")</f>
        <v/>
      </c>
      <c r="Z485">
        <f>HYPERLINK("https://klasma.github.io/Logging_2101/fåglar/A 21245-2023 prioriterade fågelarter.docx", "A 21245-2023")</f>
        <v/>
      </c>
    </row>
    <row r="486" ht="15" customHeight="1">
      <c r="A486" t="inlineStr">
        <is>
          <t>A 21889-2023</t>
        </is>
      </c>
      <c r="B486" s="1" t="n">
        <v>45068</v>
      </c>
      <c r="C486" s="1" t="n">
        <v>45578</v>
      </c>
      <c r="D486" t="inlineStr">
        <is>
          <t>GÄVLEBORGS LÄN</t>
        </is>
      </c>
      <c r="E486" t="inlineStr">
        <is>
          <t>OCKELBO</t>
        </is>
      </c>
      <c r="F486" t="inlineStr">
        <is>
          <t>Bergvik skog väst AB</t>
        </is>
      </c>
      <c r="G486" t="n">
        <v>2.9</v>
      </c>
      <c r="H486" t="n">
        <v>0</v>
      </c>
      <c r="I486" t="n">
        <v>1</v>
      </c>
      <c r="J486" t="n">
        <v>0</v>
      </c>
      <c r="K486" t="n">
        <v>0</v>
      </c>
      <c r="L486" t="n">
        <v>0</v>
      </c>
      <c r="M486" t="n">
        <v>0</v>
      </c>
      <c r="N486" t="n">
        <v>0</v>
      </c>
      <c r="O486" t="n">
        <v>0</v>
      </c>
      <c r="P486" t="n">
        <v>0</v>
      </c>
      <c r="Q486" t="n">
        <v>1</v>
      </c>
      <c r="R486" s="2" t="inlineStr">
        <is>
          <t>Tibast</t>
        </is>
      </c>
      <c r="S486">
        <f>HYPERLINK("https://klasma.github.io/Logging_2101/artfynd/A 21889-2023 artfynd.xlsx", "A 21889-2023")</f>
        <v/>
      </c>
      <c r="T486">
        <f>HYPERLINK("https://klasma.github.io/Logging_2101/kartor/A 21889-2023 karta.png", "A 21889-2023")</f>
        <v/>
      </c>
      <c r="V486">
        <f>HYPERLINK("https://klasma.github.io/Logging_2101/klagomål/A 21889-2023 FSC-klagomål.docx", "A 21889-2023")</f>
        <v/>
      </c>
      <c r="W486">
        <f>HYPERLINK("https://klasma.github.io/Logging_2101/klagomålsmail/A 21889-2023 FSC-klagomål mail.docx", "A 21889-2023")</f>
        <v/>
      </c>
      <c r="X486">
        <f>HYPERLINK("https://klasma.github.io/Logging_2101/tillsyn/A 21889-2023 tillsynsbegäran.docx", "A 21889-2023")</f>
        <v/>
      </c>
      <c r="Y486">
        <f>HYPERLINK("https://klasma.github.io/Logging_2101/tillsynsmail/A 21889-2023 tillsynsbegäran mail.docx", "A 21889-2023")</f>
        <v/>
      </c>
    </row>
    <row r="487" ht="15" customHeight="1">
      <c r="A487" t="inlineStr">
        <is>
          <t>A 21887-2023</t>
        </is>
      </c>
      <c r="B487" s="1" t="n">
        <v>45068</v>
      </c>
      <c r="C487" s="1" t="n">
        <v>45578</v>
      </c>
      <c r="D487" t="inlineStr">
        <is>
          <t>GÄVLEBORGS LÄN</t>
        </is>
      </c>
      <c r="E487" t="inlineStr">
        <is>
          <t>OCKELBO</t>
        </is>
      </c>
      <c r="F487" t="inlineStr">
        <is>
          <t>Bergvik skog väst AB</t>
        </is>
      </c>
      <c r="G487" t="n">
        <v>1.6</v>
      </c>
      <c r="H487" t="n">
        <v>0</v>
      </c>
      <c r="I487" t="n">
        <v>0</v>
      </c>
      <c r="J487" t="n">
        <v>0</v>
      </c>
      <c r="K487" t="n">
        <v>0</v>
      </c>
      <c r="L487" t="n">
        <v>0</v>
      </c>
      <c r="M487" t="n">
        <v>1</v>
      </c>
      <c r="N487" t="n">
        <v>0</v>
      </c>
      <c r="O487" t="n">
        <v>1</v>
      </c>
      <c r="P487" t="n">
        <v>1</v>
      </c>
      <c r="Q487" t="n">
        <v>1</v>
      </c>
      <c r="R487" s="2" t="inlineStr">
        <is>
          <t>Skogsalm</t>
        </is>
      </c>
      <c r="S487">
        <f>HYPERLINK("https://klasma.github.io/Logging_2101/artfynd/A 21887-2023 artfynd.xlsx", "A 21887-2023")</f>
        <v/>
      </c>
      <c r="T487">
        <f>HYPERLINK("https://klasma.github.io/Logging_2101/kartor/A 21887-2023 karta.png", "A 21887-2023")</f>
        <v/>
      </c>
      <c r="V487">
        <f>HYPERLINK("https://klasma.github.io/Logging_2101/klagomål/A 21887-2023 FSC-klagomål.docx", "A 21887-2023")</f>
        <v/>
      </c>
      <c r="W487">
        <f>HYPERLINK("https://klasma.github.io/Logging_2101/klagomålsmail/A 21887-2023 FSC-klagomål mail.docx", "A 21887-2023")</f>
        <v/>
      </c>
      <c r="X487">
        <f>HYPERLINK("https://klasma.github.io/Logging_2101/tillsyn/A 21887-2023 tillsynsbegäran.docx", "A 21887-2023")</f>
        <v/>
      </c>
      <c r="Y487">
        <f>HYPERLINK("https://klasma.github.io/Logging_2101/tillsynsmail/A 21887-2023 tillsynsbegäran mail.docx", "A 21887-2023")</f>
        <v/>
      </c>
    </row>
    <row r="488" ht="15" customHeight="1">
      <c r="A488" t="inlineStr">
        <is>
          <t>A 22973-2023</t>
        </is>
      </c>
      <c r="B488" s="1" t="n">
        <v>45072</v>
      </c>
      <c r="C488" s="1" t="n">
        <v>45578</v>
      </c>
      <c r="D488" t="inlineStr">
        <is>
          <t>GÄVLEBORGS LÄN</t>
        </is>
      </c>
      <c r="E488" t="inlineStr">
        <is>
          <t>LJUSDAL</t>
        </is>
      </c>
      <c r="F488" t="inlineStr">
        <is>
          <t>Sveaskog</t>
        </is>
      </c>
      <c r="G488" t="n">
        <v>20.4</v>
      </c>
      <c r="H488" t="n">
        <v>0</v>
      </c>
      <c r="I488" t="n">
        <v>0</v>
      </c>
      <c r="J488" t="n">
        <v>1</v>
      </c>
      <c r="K488" t="n">
        <v>0</v>
      </c>
      <c r="L488" t="n">
        <v>0</v>
      </c>
      <c r="M488" t="n">
        <v>0</v>
      </c>
      <c r="N488" t="n">
        <v>0</v>
      </c>
      <c r="O488" t="n">
        <v>1</v>
      </c>
      <c r="P488" t="n">
        <v>0</v>
      </c>
      <c r="Q488" t="n">
        <v>1</v>
      </c>
      <c r="R488" s="2" t="inlineStr">
        <is>
          <t>Kolflarnlav</t>
        </is>
      </c>
      <c r="S488">
        <f>HYPERLINK("https://klasma.github.io/Logging_2161/artfynd/A 22973-2023 artfynd.xlsx", "A 22973-2023")</f>
        <v/>
      </c>
      <c r="T488">
        <f>HYPERLINK("https://klasma.github.io/Logging_2161/kartor/A 22973-2023 karta.png", "A 22973-2023")</f>
        <v/>
      </c>
      <c r="V488">
        <f>HYPERLINK("https://klasma.github.io/Logging_2161/klagomål/A 22973-2023 FSC-klagomål.docx", "A 22973-2023")</f>
        <v/>
      </c>
      <c r="W488">
        <f>HYPERLINK("https://klasma.github.io/Logging_2161/klagomålsmail/A 22973-2023 FSC-klagomål mail.docx", "A 22973-2023")</f>
        <v/>
      </c>
      <c r="X488">
        <f>HYPERLINK("https://klasma.github.io/Logging_2161/tillsyn/A 22973-2023 tillsynsbegäran.docx", "A 22973-2023")</f>
        <v/>
      </c>
      <c r="Y488">
        <f>HYPERLINK("https://klasma.github.io/Logging_2161/tillsynsmail/A 22973-2023 tillsynsbegäran mail.docx", "A 22973-2023")</f>
        <v/>
      </c>
    </row>
    <row r="489" ht="15" customHeight="1">
      <c r="A489" t="inlineStr">
        <is>
          <t>A 25114-2023</t>
        </is>
      </c>
      <c r="B489" s="1" t="n">
        <v>45086</v>
      </c>
      <c r="C489" s="1" t="n">
        <v>45578</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45578</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45578</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45578</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45578</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45578</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45578</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45578</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45578</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45578</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45578</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45578</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45578</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45578</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45578</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45578</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45578</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45578</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45578</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45578</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45578</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45578</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45578</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45578</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45578</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45578</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45578</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45578</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45578</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45578</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45578</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45578</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45578</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45578</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45578</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45578</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45578</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45578</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45578</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45578</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45578</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45578</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45578</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45578</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45578</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45578</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45578</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45578</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45578</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45578</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45578</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45578</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45578</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45578</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45578</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45578</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45578</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45578</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45578</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45578</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45578</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45578</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45578</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45578</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45578</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45578</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45578</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45578</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45578</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45578</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45578</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45578</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45578</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45578</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45578</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45578</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45578</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45578</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45578</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45578</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45578</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45578</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45578</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45578</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45578</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45578</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45578</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45578</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45578</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45578</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45578</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45578</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45578</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45578</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45578</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45578</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45578</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45578</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45578</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45578</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45578</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45578</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45578</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45578</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45578</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45578</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45578</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45578</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45578</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45578</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45578</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45578</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45578</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45578</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45578</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45578</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45578</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45578</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45578</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45578</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45578</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45578</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45578</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45578</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45578</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45578</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45578</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45578</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45578</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45578</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45578</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45578</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45578</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45578</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45578</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45578</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45578</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45578</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45578</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45578</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45578</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45578</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45578</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45578</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45578</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45578</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45578</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45578</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39793-2024</t>
        </is>
      </c>
      <c r="B637" s="1" t="n">
        <v>45553</v>
      </c>
      <c r="C637" s="1" t="n">
        <v>45578</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39838-2024</t>
        </is>
      </c>
      <c r="B638" s="1" t="n">
        <v>45553</v>
      </c>
      <c r="C638" s="1" t="n">
        <v>45578</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39838-2024 artfynd.xlsx", "A 39838-2024")</f>
        <v/>
      </c>
      <c r="T638">
        <f>HYPERLINK("https://klasma.github.io/Logging_2161/kartor/A 39838-2024 karta.png", "A 39838-2024")</f>
        <v/>
      </c>
      <c r="U638">
        <f>HYPERLINK("https://klasma.github.io/Logging_2161/knärot/A 39838-2024 karta knärot.png", "A 39838-2024")</f>
        <v/>
      </c>
      <c r="V638">
        <f>HYPERLINK("https://klasma.github.io/Logging_2161/klagomål/A 39838-2024 FSC-klagomål.docx", "A 39838-2024")</f>
        <v/>
      </c>
      <c r="W638">
        <f>HYPERLINK("https://klasma.github.io/Logging_2161/klagomålsmail/A 39838-2024 FSC-klagomål mail.docx", "A 39838-2024")</f>
        <v/>
      </c>
      <c r="X638">
        <f>HYPERLINK("https://klasma.github.io/Logging_2161/tillsyn/A 39838-2024 tillsynsbegäran.docx", "A 39838-2024")</f>
        <v/>
      </c>
      <c r="Y638">
        <f>HYPERLINK("https://klasma.github.io/Logging_2161/tillsynsmail/A 39838-2024 tillsynsbegäran mail.docx", "A 39838-2024")</f>
        <v/>
      </c>
    </row>
    <row r="639" ht="15" customHeight="1">
      <c r="A639" t="inlineStr">
        <is>
          <t>A 40904-2024</t>
        </is>
      </c>
      <c r="B639" s="1" t="n">
        <v>45558</v>
      </c>
      <c r="C639" s="1" t="n">
        <v>45578</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41494-2024</t>
        </is>
      </c>
      <c r="B640" s="1" t="n">
        <v>45560</v>
      </c>
      <c r="C640" s="1" t="n">
        <v>45578</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41388-2024</t>
        </is>
      </c>
      <c r="B641" s="1" t="n">
        <v>45560</v>
      </c>
      <c r="C641" s="1" t="n">
        <v>45578</v>
      </c>
      <c r="D641" t="inlineStr">
        <is>
          <t>GÄVLEBORGS LÄN</t>
        </is>
      </c>
      <c r="E641" t="inlineStr">
        <is>
          <t>LJUSDAL</t>
        </is>
      </c>
      <c r="F641" t="inlineStr">
        <is>
          <t>Holmen skog AB</t>
        </is>
      </c>
      <c r="G641" t="n">
        <v>1.2</v>
      </c>
      <c r="H641" t="n">
        <v>0</v>
      </c>
      <c r="I641" t="n">
        <v>0</v>
      </c>
      <c r="J641" t="n">
        <v>1</v>
      </c>
      <c r="K641" t="n">
        <v>0</v>
      </c>
      <c r="L641" t="n">
        <v>0</v>
      </c>
      <c r="M641" t="n">
        <v>0</v>
      </c>
      <c r="N641" t="n">
        <v>0</v>
      </c>
      <c r="O641" t="n">
        <v>1</v>
      </c>
      <c r="P641" t="n">
        <v>0</v>
      </c>
      <c r="Q641" t="n">
        <v>1</v>
      </c>
      <c r="R641" s="2" t="inlineStr">
        <is>
          <t>Garnlav</t>
        </is>
      </c>
      <c r="S641">
        <f>HYPERLINK("https://klasma.github.io/Logging_2161/artfynd/A 41388-2024 artfynd.xlsx", "A 41388-2024")</f>
        <v/>
      </c>
      <c r="T641">
        <f>HYPERLINK("https://klasma.github.io/Logging_2161/kartor/A 41388-2024 karta.png", "A 41388-2024")</f>
        <v/>
      </c>
      <c r="V641">
        <f>HYPERLINK("https://klasma.github.io/Logging_2161/klagomål/A 41388-2024 FSC-klagomål.docx", "A 41388-2024")</f>
        <v/>
      </c>
      <c r="W641">
        <f>HYPERLINK("https://klasma.github.io/Logging_2161/klagomålsmail/A 41388-2024 FSC-klagomål mail.docx", "A 41388-2024")</f>
        <v/>
      </c>
      <c r="X641">
        <f>HYPERLINK("https://klasma.github.io/Logging_2161/tillsyn/A 41388-2024 tillsynsbegäran.docx", "A 41388-2024")</f>
        <v/>
      </c>
      <c r="Y641">
        <f>HYPERLINK("https://klasma.github.io/Logging_2161/tillsynsmail/A 41388-2024 tillsynsbegäran mail.docx", "A 41388-2024")</f>
        <v/>
      </c>
    </row>
    <row r="642" ht="15" customHeight="1">
      <c r="A642" t="inlineStr">
        <is>
          <t>A 17688-2019</t>
        </is>
      </c>
      <c r="B642" s="1" t="n">
        <v>43556</v>
      </c>
      <c r="C642" s="1" t="n">
        <v>45578</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45578</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45578</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45578</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45578</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45578</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45578</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45578</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45578</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45578</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45578</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45578</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45578</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45578</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45578</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45578</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45578</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45578</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45578</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45578</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45578</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45578</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45578</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45578</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45578</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45578</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45578</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45578</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45578</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45578</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45578</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45578</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45578</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45578</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45578</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45578</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45578</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45578</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45578</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45578</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45578</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45578</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45578</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45578</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45578</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45578</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45578</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45578</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45578</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45578</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45578</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45578</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45578</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45578</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45578</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45578</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45578</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45578</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45578</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45578</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45578</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45578</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45578</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45578</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45578</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45578</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45578</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45578</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45578</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45578</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45578</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45578</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45578</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45578</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45578</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45578</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45578</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45578</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45578</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45578</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45578</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45578</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45578</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45578</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45578</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45578</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45578</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45578</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45578</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45578</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45578</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45578</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45578</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45578</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45578</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45578</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45578</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45578</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45578</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45578</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45578</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45578</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45578</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45578</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45578</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45578</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45578</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45578</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45578</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45578</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45578</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45578</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45578</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45578</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45578</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45578</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45578</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45578</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45578</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45578</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45578</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45578</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45578</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45578</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45578</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45578</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45578</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45578</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45578</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45578</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45578</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45578</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45578</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45578</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45578</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45578</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45578</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45578</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45578</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45578</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45578</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45578</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45578</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45578</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45578</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45578</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45578</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45578</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45578</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45578</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45578</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45578</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45578</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45578</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45578</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45578</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45578</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45578</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45578</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45578</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45578</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45578</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45578</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45578</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45578</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45578</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45578</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45578</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45578</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45578</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45578</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45578</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45578</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45578</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45578</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45578</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45578</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45578</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45578</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45578</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45578</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45578</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45578</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45578</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45578</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45578</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45578</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45578</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45578</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45578</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45578</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45578</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45578</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45578</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45578</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45578</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45578</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45578</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45578</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45578</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45578</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45578</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45578</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45578</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45578</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45578</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45578</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45578</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45578</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45578</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45578</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45578</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45578</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45578</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45578</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45578</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45578</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45578</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45578</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45578</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45578</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45578</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45578</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45578</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45578</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45578</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45578</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45578</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45578</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45578</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45578</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45578</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45578</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45578</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45578</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45578</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45578</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45578</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45578</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45578</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45578</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45578</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45578</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45578</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45578</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45578</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45578</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45578</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45578</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45578</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45578</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45578</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45578</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45578</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45578</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45578</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45578</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45578</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45578</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45578</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45578</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45578</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45578</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45578</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45578</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45578</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45578</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45578</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45578</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45578</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45578</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45578</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45578</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45578</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45578</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45578</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45578</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45578</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45578</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45578</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45578</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45578</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45578</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45578</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45578</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45578</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45578</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45578</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45578</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45578</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45578</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45578</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45578</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45578</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45578</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45578</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45578</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45578</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45578</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45578</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45578</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45578</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45578</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45578</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45578</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45578</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45578</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45578</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45578</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45578</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45578</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45578</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45578</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45578</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45578</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45578</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45578</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45578</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45578</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45578</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45578</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45578</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45578</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45578</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45578</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45578</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45578</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45578</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45578</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45578</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45578</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45578</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45578</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45578</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45578</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45578</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45578</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45578</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45578</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45578</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45578</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45578</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45578</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45578</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45578</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45578</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45578</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45578</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45578</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45578</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45578</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45578</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45578</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45578</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45578</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45578</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45578</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45578</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45578</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45578</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45578</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45578</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45578</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45578</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45578</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45578</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45578</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45578</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45578</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45578</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45578</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45578</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45578</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45578</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45578</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45578</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45578</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45578</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45578</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45578</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45578</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45578</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45578</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45578</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45578</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45578</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45578</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45578</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45578</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45578</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45578</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45578</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45578</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45578</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45578</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45578</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45578</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45578</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45578</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45578</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45578</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45578</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45578</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45578</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45578</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45578</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45578</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45578</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45578</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45578</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45578</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45578</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45578</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45578</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45578</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45578</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45578</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45578</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45578</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45578</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45578</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45578</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45578</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45578</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45578</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45578</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45578</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45578</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45578</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45578</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45578</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45578</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45578</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45578</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45578</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45578</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45578</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45578</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45578</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45578</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45578</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45578</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45578</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45578</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45578</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45578</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45578</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45578</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45578</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45578</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45578</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45578</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45578</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45578</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45578</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45578</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45578</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45578</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45578</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45578</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45578</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45578</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45578</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45578</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45578</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45578</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45578</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45578</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45578</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45578</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45578</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45578</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45578</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45578</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45578</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45578</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45578</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45578</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45578</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45578</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45578</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45578</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45578</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45578</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45578</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45578</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45578</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45578</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45578</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45578</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45578</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45578</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45578</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45578</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45578</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45578</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45578</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45578</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45578</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45578</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45578</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45578</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45578</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45578</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45578</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45578</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45578</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45578</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45578</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45578</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45578</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45578</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45578</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45578</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45578</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45578</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45578</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45578</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45578</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45578</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45578</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45578</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45578</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45578</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45578</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45578</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45578</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45578</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45578</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45578</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45578</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45578</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45578</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45578</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45578</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45578</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45578</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45578</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45578</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45578</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45578</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45578</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45578</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45578</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45578</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45578</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45578</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45578</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45578</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45578</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45578</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45578</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45578</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45578</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45578</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45578</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45578</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45578</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45578</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45578</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45578</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45578</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45578</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45578</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45578</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45578</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45578</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45578</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45578</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45578</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45578</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45578</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45578</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45578</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45578</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45578</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45578</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45578</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45578</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45578</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45578</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45578</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45578</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45578</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45578</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45578</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45578</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45578</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45578</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45578</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45578</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45578</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45578</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45578</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45578</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45578</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45578</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45578</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45578</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45578</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45578</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45578</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45578</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45578</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45578</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45578</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45578</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45578</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45578</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45578</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45578</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45578</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45578</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45578</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45578</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45578</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45578</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45578</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45578</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45578</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45578</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45578</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45578</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45578</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45578</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45578</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45578</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45578</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45578</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45578</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45578</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45578</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45578</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45578</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45578</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45578</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45578</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45578</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45578</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45578</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45578</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45578</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45578</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45578</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45578</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45578</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45578</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45578</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45578</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45578</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45578</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45578</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45578</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45578</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45578</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45578</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45578</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45578</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45578</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45578</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45578</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45578</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45578</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45578</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45578</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45578</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45578</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45578</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45578</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45578</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45578</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45578</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45578</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45578</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45578</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45578</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45578</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45578</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45578</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45578</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45578</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45578</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45578</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45578</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45578</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45578</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45578</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45578</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45578</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45578</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45578</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45578</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45578</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45578</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45578</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45578</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45578</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45578</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45578</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45578</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45578</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45578</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45578</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45578</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45578</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45578</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45578</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45578</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45578</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45578</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45578</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45578</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45578</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45578</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45578</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45578</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45578</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45578</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45578</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45578</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45578</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45578</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45578</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45578</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45578</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45578</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45578</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45578</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45578</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45578</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45578</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45578</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45578</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45578</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45578</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45578</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45578</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45578</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45578</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45578</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45578</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45578</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45578</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45578</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45578</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45578</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45578</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45578</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45578</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45578</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45578</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45578</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45578</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45578</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45578</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45578</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45578</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45578</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45578</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45578</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45578</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45578</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45578</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45578</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45578</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45578</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45578</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45578</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45578</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45578</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45578</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45578</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45578</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45578</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45578</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45578</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45578</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45578</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45578</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45578</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45578</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45578</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45578</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45578</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45578</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45578</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45578</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45578</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45578</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45578</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45578</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45578</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45578</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45578</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45578</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45578</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45578</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45578</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45578</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45578</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45578</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45578</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45578</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45578</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45578</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45578</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45578</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45578</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45578</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45578</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45578</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45578</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45578</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45578</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45578</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45578</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45578</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45578</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45578</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45578</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45578</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45578</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45578</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45578</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45578</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45578</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45578</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45578</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45578</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45578</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45578</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45578</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45578</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45578</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45578</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45578</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45578</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45578</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45578</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45578</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45578</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45578</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45578</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45578</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45578</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45578</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45578</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45578</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45578</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45578</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45578</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45578</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45578</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45578</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45578</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45578</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45578</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45578</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45578</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45578</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45578</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45578</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45578</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45578</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45578</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45578</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45578</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45578</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45578</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45578</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45578</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45578</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45578</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45578</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45578</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45578</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45578</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45578</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45578</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45578</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45578</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45578</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45578</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45578</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45578</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45578</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45578</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45578</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45578</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45578</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45578</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45578</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45578</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45578</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45578</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45578</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45578</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45578</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45578</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45578</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45578</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45578</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45578</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45578</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45578</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45578</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45578</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45578</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45578</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45578</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45578</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45578</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45578</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45578</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45578</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45578</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45578</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45578</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45578</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45578</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45578</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45578</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45578</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45578</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45578</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45578</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45578</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45578</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45578</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45578</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45578</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45578</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45578</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45578</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45578</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45578</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45578</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45578</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45578</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45578</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45578</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45578</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45578</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45578</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45578</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45578</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45578</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45578</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45578</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45578</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45578</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45578</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45578</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45578</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45578</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45578</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45578</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45578</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45578</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45578</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45578</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45578</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45578</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45578</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45578</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45578</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45578</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45578</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45578</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45578</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45578</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45578</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45578</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45578</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45578</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45578</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45578</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45578</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45578</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45578</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45578</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45578</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45578</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45578</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45578</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45578</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45578</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45578</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45578</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45578</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45578</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45578</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45578</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45578</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45578</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45578</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45578</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45578</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45578</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45578</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45578</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45578</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45578</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45578</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45578</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45578</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45578</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45578</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45578</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45578</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45578</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45578</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45578</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45578</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45578</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45578</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45578</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45578</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45578</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45578</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45578</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45578</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45578</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45578</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45578</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45578</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45578</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45578</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45578</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45578</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45578</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45578</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45578</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45578</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45578</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45578</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45578</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45578</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45578</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45578</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45578</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45578</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45578</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45578</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45578</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45578</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45578</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45578</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45578</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45578</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45578</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45578</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45578</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45578</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45578</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45578</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45578</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45578</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45578</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45578</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45578</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45578</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45578</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45578</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45578</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45578</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45578</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45578</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45578</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45578</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45578</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45578</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45578</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45578</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45578</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45578</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45578</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45578</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45578</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45578</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45578</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45578</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45578</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45578</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45578</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45578</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45578</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45578</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45578</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45578</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45578</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45578</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45578</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45578</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45578</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45578</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45578</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45578</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45578</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45578</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45578</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45578</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45578</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45578</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45578</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45578</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45578</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45578</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45578</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45578</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45578</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45578</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45578</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45578</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45578</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45578</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45578</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45578</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45578</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45578</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45578</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45578</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45578</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45578</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45578</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45578</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45578</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45578</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45578</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45578</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45578</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45578</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45578</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45578</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45578</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45578</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45578</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45578</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45578</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45578</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45578</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45578</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45578</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45578</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45578</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45578</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45578</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45578</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45578</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45578</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45578</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45578</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45578</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45578</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45578</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45578</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45578</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45578</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45578</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45578</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45578</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45578</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45578</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45578</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45578</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45578</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45578</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45578</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45578</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45578</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45578</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45578</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45578</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45578</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45578</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45578</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45578</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45578</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45578</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45578</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45578</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45578</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45578</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45578</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45578</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45578</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45578</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45578</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45578</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45578</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45578</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45578</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45578</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45578</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45578</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45578</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45578</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45578</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45578</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45578</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45578</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45578</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45578</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45578</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45578</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45578</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45578</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45578</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45578</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45578</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45578</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45578</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45578</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45578</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45578</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45578</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45578</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45578</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45578</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45578</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45578</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45578</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45578</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45578</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45578</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45578</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45578</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45578</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45578</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45578</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45578</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45578</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45578</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45578</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45578</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45578</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45578</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45578</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45578</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45578</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45578</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45578</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45578</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45578</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45578</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45578</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45578</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45578</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45578</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45578</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45578</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45578</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45578</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45578</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45578</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45578</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45578</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45578</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45578</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45578</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45578</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45578</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45578</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45578</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45578</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45578</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45578</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45578</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45578</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45578</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45578</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45578</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45578</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45578</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45578</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45578</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45578</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45578</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45578</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45578</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45578</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45578</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45578</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45578</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45578</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45578</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45578</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45578</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45578</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45578</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45578</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45578</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45578</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45578</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45578</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45578</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45578</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45578</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45578</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45578</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45578</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45578</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45578</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45578</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45578</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45578</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45578</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45578</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45578</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45578</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45578</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45578</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45578</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45578</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45578</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45578</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45578</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45578</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45578</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45578</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45578</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45578</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45578</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45578</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45578</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45578</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45578</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45578</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45578</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45578</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45578</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45578</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45578</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45578</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45578</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45578</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45578</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45578</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45578</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45578</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45578</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45578</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45578</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45578</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45578</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45578</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45578</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45578</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45578</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45578</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45578</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45578</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45578</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45578</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45578</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45578</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45578</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45578</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45578</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45578</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45578</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45578</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45578</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45578</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45578</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45578</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45578</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45578</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45578</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45578</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45578</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45578</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45578</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45578</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45578</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45578</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45578</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45578</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45578</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45578</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45578</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45578</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45578</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45578</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45578</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45578</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45578</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45578</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45578</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45578</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45578</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45578</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45578</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45578</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45578</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45578</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45578</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45578</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45578</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45578</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45578</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45578</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45578</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45578</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45578</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45578</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45578</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45578</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45578</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45578</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45578</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45578</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45578</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45578</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45578</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45578</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45578</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45578</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45578</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45578</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45578</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45578</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45578</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45578</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45578</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45578</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45578</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45578</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45578</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45578</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45578</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45578</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45578</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45578</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45578</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45578</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45578</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45578</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45578</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45578</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45578</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45578</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45578</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45578</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45578</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45578</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45578</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45578</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45578</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45578</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45578</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45578</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45578</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45578</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45578</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45578</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45578</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45578</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45578</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45578</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45578</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45578</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45578</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45578</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45578</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45578</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45578</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45578</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45578</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45578</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45578</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45578</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45578</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45578</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45578</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45578</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45578</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45578</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45578</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45578</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45578</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45578</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45578</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45578</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45578</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45578</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45578</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45578</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45578</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45578</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45578</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45578</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45578</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45578</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45578</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45578</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45578</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45578</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45578</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45578</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45578</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45578</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45578</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45578</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45578</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45578</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45578</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45578</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45578</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45578</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45578</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45578</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45578</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45578</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45578</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45578</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45578</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45578</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45578</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45578</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45578</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45578</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45578</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45578</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45578</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45578</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45578</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45578</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45578</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45578</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45578</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45578</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45578</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45578</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45578</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45578</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45578</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45578</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45578</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45578</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45578</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45578</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45578</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45578</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45578</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45578</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45578</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45578</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45578</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45578</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45578</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45578</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45578</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45578</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45578</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45578</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45578</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45578</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45578</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45578</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45578</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45578</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45578</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45578</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45578</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45578</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45578</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45578</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45578</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45578</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45578</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45578</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45578</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45578</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45578</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45578</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45578</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45578</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45578</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45578</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45578</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45578</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45578</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45578</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45578</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45578</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45578</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45578</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45578</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45578</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45578</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45578</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45578</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45578</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45578</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45578</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45578</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45578</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45578</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45578</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45578</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45578</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45578</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45578</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45578</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45578</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45578</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45578</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45578</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45578</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45578</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45578</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45578</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45578</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45578</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45578</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45578</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45578</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45578</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45578</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45578</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45578</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45578</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45578</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45578</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45578</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45578</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45578</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45578</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45578</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45578</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45578</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45578</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45578</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45578</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45578</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45578</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45578</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45578</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45578</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45578</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45578</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45578</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45578</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45578</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45578</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45578</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45578</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45578</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45578</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45578</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45578</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45578</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45578</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45578</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45578</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45578</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45578</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45578</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45578</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45578</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45578</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45578</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45578</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45578</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45578</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45578</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45578</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45578</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45578</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45578</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45578</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45578</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45578</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45578</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45578</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45578</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45578</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45578</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45578</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45578</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45578</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45578</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45578</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45578</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45578</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45578</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45578</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45578</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45578</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45578</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45578</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45578</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45578</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45578</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45578</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45578</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45578</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45578</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45578</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45578</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45578</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45578</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45578</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45578</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45578</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45578</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45578</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45578</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45578</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45578</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45578</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45578</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45578</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45578</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45578</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45578</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45578</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45578</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45578</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45578</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45578</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45578</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45578</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45578</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45578</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45578</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45578</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45578</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45578</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45578</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45578</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45578</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45578</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45578</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45578</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45578</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45578</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45578</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45578</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45578</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45578</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45578</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45578</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45578</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45578</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45578</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45578</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45578</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45578</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45578</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45578</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45578</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45578</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45578</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45578</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45578</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45578</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45578</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45578</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45578</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45578</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45578</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45578</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45578</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45578</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45578</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45578</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45578</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45578</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45578</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45578</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45578</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45578</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45578</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45578</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45578</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45578</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45578</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45578</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45578</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45578</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45578</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45578</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45578</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45578</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45578</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45578</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45578</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45578</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45578</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45578</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45578</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45578</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45578</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45578</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45578</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45578</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45578</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45578</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45578</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45578</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45578</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45578</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45578</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45578</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45578</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45578</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45578</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45578</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45578</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45578</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45578</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45578</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45578</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45578</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45578</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45578</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45578</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45578</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45578</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45578</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45578</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45578</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45578</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45578</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45578</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45578</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45578</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45578</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45578</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45578</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45578</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45578</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45578</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45578</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45578</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45578</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45578</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45578</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45578</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45578</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45578</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45578</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45578</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45578</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45578</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45578</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45578</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45578</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45578</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45578</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45578</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45578</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45578</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45578</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45578</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45578</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45578</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45578</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45578</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45578</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45578</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45578</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45578</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45578</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45578</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45578</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45578</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45578</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45578</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45578</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45578</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45578</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45578</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45578</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45578</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45578</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45578</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45578</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45578</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45578</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45578</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45578</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45578</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45578</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45578</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45578</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45578</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45578</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45578</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45578</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45578</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45578</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45578</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45578</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45578</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45578</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45578</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45578</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45578</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45578</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45578</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45578</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45578</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45578</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45578</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45578</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45578</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45578</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45578</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45578</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45578</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45578</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45578</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45578</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45578</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45578</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45578</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45578</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45578</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45578</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45578</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45578</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45578</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45578</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45578</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45578</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45578</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45578</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45578</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45578</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45578</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45578</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45578</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45578</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45578</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45578</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45578</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45578</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45578</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45578</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45578</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45578</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45578</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45578</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45578</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45578</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45578</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45578</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45578</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45578</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45578</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45578</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45578</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45578</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45578</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45578</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45578</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45578</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45578</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45578</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45578</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45578</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45578</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45578</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45578</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45578</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45578</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45578</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45578</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45578</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45578</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45578</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45578</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45578</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45578</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45578</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45578</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45578</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45578</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45578</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45578</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45578</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45578</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45578</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45578</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45578</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45578</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45578</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45578</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45578</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45578</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45578</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45578</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45578</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45578</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45578</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45578</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45578</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45578</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45578</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45578</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45578</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45578</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45578</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45578</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45578</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45578</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45578</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45578</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45578</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45578</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45578</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45578</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45578</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45578</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45578</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45578</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45578</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45578</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45578</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45578</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45578</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45578</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45578</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45578</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45578</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45578</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45578</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45578</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45578</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45578</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45578</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45578</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45578</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45578</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45578</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45578</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45578</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45578</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45578</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45578</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45578</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45578</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45578</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45578</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45578</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45578</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45578</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45578</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45578</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45578</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45578</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45578</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45578</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45578</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45578</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45578</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45578</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45578</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45578</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45578</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45578</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45578</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45578</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45578</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45578</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45578</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45578</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45578</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45578</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45578</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45578</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45578</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45578</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45578</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45578</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45578</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45578</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45578</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45578</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45578</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45578</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45578</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45578</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45578</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45578</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45578</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45578</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45578</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45578</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45578</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45578</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45578</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45578</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45578</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45578</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45578</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45578</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45578</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45578</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45578</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45578</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45578</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45578</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45578</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45578</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45578</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45578</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45578</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45578</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45578</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45578</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45578</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45578</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45578</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45578</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45578</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45578</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45578</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45578</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45578</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45578</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45578</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45578</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45578</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45578</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45578</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45578</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45578</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45578</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45578</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45578</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45578</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45578</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45578</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45578</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45578</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45578</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45578</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45578</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45578</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45578</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45578</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45578</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45578</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45578</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45578</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45578</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45578</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45578</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45578</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45578</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45578</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45578</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45578</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45578</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45578</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45578</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45578</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45578</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45578</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45578</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45578</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45578</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45578</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45578</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45578</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45578</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45578</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45578</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45578</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45578</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45578</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45578</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45578</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45578</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45578</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45578</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45578</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45578</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45578</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45578</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45578</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45578</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45578</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45578</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45578</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45578</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45578</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45578</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45578</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45578</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45578</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45578</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45578</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45578</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45578</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45578</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45578</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45578</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45578</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45578</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45578</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45578</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45578</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45578</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45578</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45578</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45578</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45578</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45578</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45578</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45578</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45578</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45578</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45578</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45578</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45578</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45578</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45578</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45578</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45578</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45578</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45578</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45578</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45578</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45578</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45578</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45578</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45578</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45578</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45578</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45578</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45578</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45578</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45578</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45578</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45578</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45578</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45578</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45578</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45578</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45578</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45578</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45578</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45578</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45578</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45578</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45578</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45578</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45578</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45578</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45578</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45578</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45578</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45578</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45578</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45578</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45578</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45578</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45578</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45578</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45578</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45578</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45578</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45578</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45578</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45578</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45578</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45578</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45578</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45578</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45578</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45578</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45578</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45578</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45578</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45578</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45578</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45578</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45578</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45578</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45578</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45578</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45578</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45578</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45578</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45578</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45578</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45578</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45578</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45578</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45578</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45578</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45578</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45578</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45578</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45578</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45578</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45578</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45578</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45578</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45578</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45578</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45578</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45578</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45578</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45578</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45578</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45578</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45578</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45578</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45578</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45578</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45578</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45578</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45578</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45578</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45578</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45578</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45578</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45578</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45578</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45578</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45578</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45578</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45578</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45578</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45578</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45578</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45578</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45578</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45578</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45578</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45578</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45578</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45578</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45578</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45578</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45578</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45578</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45578</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45578</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45578</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45578</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45578</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45578</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45578</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45578</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45578</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45578</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45578</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45578</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45578</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45578</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45578</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45578</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45578</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45578</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45578</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45578</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45578</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45578</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45578</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45578</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45578</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45578</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45578</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45578</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45578</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45578</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45578</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45578</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45578</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45578</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45578</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45578</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45578</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45578</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45578</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45578</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45578</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45578</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45578</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45578</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45578</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45578</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45578</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45578</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45578</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45578</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45578</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45578</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45578</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45578</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45578</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45578</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45578</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45578</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45578</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45578</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45578</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45578</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45578</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45578</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45578</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45578</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45578</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45578</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45578</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45578</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45578</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45578</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45578</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45578</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45578</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45578</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45578</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45578</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45578</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45578</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45578</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45578</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45578</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45578</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45578</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45578</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45578</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45578</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45578</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45578</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45578</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45578</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45578</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45578</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45578</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45578</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45578</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45578</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45578</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45578</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45578</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45578</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45578</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45578</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45578</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45578</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45578</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45578</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45578</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45578</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45578</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45578</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45578</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45578</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45578</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45578</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45578</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45578</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45578</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45578</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45578</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45578</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45578</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45578</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45578</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45578</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45578</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45578</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45578</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45578</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45578</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45578</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45578</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45578</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45578</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45578</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45578</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45578</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45578</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45578</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45578</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45578</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45578</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45578</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45578</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45578</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45578</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45578</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45578</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45578</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45578</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45578</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45578</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45578</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45578</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45578</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45578</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45578</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45578</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45578</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45578</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45578</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45578</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45578</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45578</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45578</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45578</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45578</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45578</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45578</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45578</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45578</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45578</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45578</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45578</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45578</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45578</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45578</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45578</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45578</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45578</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45578</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45578</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45578</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45578</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45578</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45578</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45578</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45578</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45578</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45578</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45578</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45578</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45578</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45578</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45578</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45578</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45578</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45578</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45578</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45578</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45578</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45578</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45578</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45578</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45578</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45578</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45578</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45578</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45578</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45578</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45578</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45578</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45578</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45578</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45578</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45578</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45578</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45578</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45578</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45578</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45578</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45578</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45578</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45578</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45578</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45578</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45578</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45578</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45578</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45578</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45578</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45578</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45578</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45578</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45578</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45578</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45578</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45578</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45578</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45578</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45578</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45578</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45578</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45578</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45578</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45578</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45578</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45578</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45578</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45578</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45578</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45578</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45578</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45578</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45578</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45578</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45578</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45578</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45578</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45578</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45578</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45578</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45578</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45578</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45578</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45578</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45578</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45578</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45578</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45578</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45578</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45578</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45578</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45578</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45578</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45578</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45578</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45578</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45578</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45578</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45578</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45578</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45578</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45578</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45578</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45578</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45578</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45578</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45578</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45578</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45578</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45578</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45578</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45578</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45578</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45578</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45578</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45578</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45578</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45578</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45578</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45578</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45578</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45578</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45578</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45578</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45578</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45578</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45578</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45578</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45578</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45578</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45578</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45578</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45578</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45578</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45578</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45578</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45578</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45578</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45578</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45578</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45578</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45578</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45578</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45578</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45578</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45578</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45578</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45578</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45578</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45578</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45578</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45578</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45578</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45578</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45578</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45578</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45578</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45578</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45578</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45578</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45578</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45578</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45578</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45578</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45578</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45578</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45578</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45578</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45578</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45578</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45578</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45578</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45578</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45578</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45578</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45578</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45578</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45578</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45578</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45578</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45578</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45578</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45578</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45578</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45578</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45578</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45578</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45578</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45578</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45578</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45578</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45578</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45578</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45578</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45578</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45578</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45578</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45578</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45578</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45578</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45578</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45578</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45578</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45578</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45578</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45578</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45578</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45578</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45578</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45578</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45578</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45578</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45578</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45578</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45578</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45578</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45578</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45578</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45578</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45578</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45578</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45578</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45578</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45578</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45578</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45578</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45578</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45578</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45578</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45578</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45578</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45578</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45578</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45578</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45578</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45578</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45578</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45578</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45578</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45578</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45578</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45578</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45578</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45578</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45578</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45578</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45578</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45578</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45578</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45578</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45578</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45578</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45578</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45578</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45578</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45578</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45578</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45578</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45578</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45578</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45578</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45578</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45578</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45578</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45578</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45578</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45578</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45578</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45578</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45578</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45578</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45578</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45578</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45578</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45578</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45578</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45578</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45578</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45578</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45578</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45578</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45578</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45578</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45578</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45578</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45578</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45578</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45578</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45578</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45578</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45578</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45578</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45578</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45578</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45578</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45578</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45578</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45578</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45578</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45578</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45578</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45578</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45578</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45578</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45578</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45578</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45578</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45578</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45578</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45578</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45578</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45578</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45578</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45578</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45578</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45578</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45578</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45578</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45578</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45578</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45578</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45578</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45578</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45578</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45578</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45578</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45578</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45578</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45578</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45578</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45578</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45578</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45578</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45578</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45578</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45578</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45578</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45578</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45578</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45578</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45578</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45578</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45578</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45578</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45578</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45578</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45578</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45578</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45578</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45578</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45578</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45578</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45578</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45578</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45578</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45578</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45578</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45578</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45578</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45578</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45578</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45578</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45578</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45578</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45578</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45578</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45578</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45578</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45578</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45578</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45578</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45578</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45578</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45578</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45578</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45578</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45578</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45578</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45578</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45578</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45578</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45578</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45578</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45578</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45578</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45578</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45578</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45578</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45578</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45578</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45578</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45578</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45578</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45578</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45578</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45578</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45578</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45578</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45578</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45578</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45578</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45578</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45578</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45578</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45578</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45578</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45578</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45578</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45578</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45578</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45578</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45578</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45578</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45578</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45578</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45578</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45578</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45578</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45578</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45578</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45578</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45578</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45578</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45578</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45578</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45578</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45578</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45578</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45578</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45578</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45578</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45578</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45578</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45578</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45578</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45578</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45578</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45578</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45578</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45578</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45578</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45578</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45578</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45578</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45578</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45578</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45578</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45578</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45578</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45578</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45578</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45578</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45578</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45578</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45578</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45578</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45578</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45578</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45578</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45578</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45578</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45578</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45578</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45578</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45578</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45578</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45578</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45578</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45578</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45578</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45578</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45578</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45578</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45578</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45578</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45578</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45578</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45578</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45578</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45578</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45578</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45578</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45578</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45578</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45578</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45578</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45578</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45578</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45578</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45578</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45578</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45578</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45578</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45578</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45578</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45578</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45578</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45578</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45578</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45578</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45578</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45578</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45578</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45578</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45578</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45578</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45578</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45578</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45578</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45578</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45578</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45578</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45578</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45578</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45578</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45578</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45578</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45578</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45578</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45578</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45578</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45578</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45578</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45578</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45578</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45578</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45578</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45578</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45578</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45578</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45578</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45578</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45578</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45578</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45578</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45578</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45578</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45578</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45578</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45578</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45578</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45578</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45578</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45578</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45578</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45578</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45578</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45578</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45578</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45578</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45578</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45578</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45578</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45578</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45578</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45578</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45578</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45578</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45578</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45578</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45578</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45578</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45578</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45578</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45578</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45578</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45578</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45578</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45578</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45578</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45578</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45578</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45578</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45578</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45578</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45578</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45578</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45578</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45578</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45578</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45578</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45578</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45578</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45578</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45578</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45578</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45578</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45578</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45578</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45578</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45578</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45578</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45578</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45578</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45578</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45578</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45578</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45578</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45578</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45578</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45578</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45578</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45578</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45578</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45578</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45578</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45578</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45578</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45578</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45578</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45578</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45578</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45578</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45578</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45578</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45578</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45578</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45578</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45578</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45578</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45578</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45578</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45578</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45578</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45578</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45578</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45578</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45578</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45578</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45578</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45578</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45578</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45578</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45578</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45578</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45578</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45578</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45578</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45578</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45578</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45578</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45578</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45578</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45578</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45578</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45578</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45578</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45578</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45578</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45578</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45578</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45578</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45578</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45578</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45578</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45578</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45578</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45578</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45578</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45578</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45578</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45578</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45578</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45578</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45578</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45578</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45578</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45578</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45578</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45578</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45578</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45578</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45578</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45578</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45578</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45578</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45578</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45578</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45578</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45578</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45578</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45578</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45578</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45578</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45578</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45578</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45578</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45578</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45578</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45578</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45578</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45578</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45578</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45578</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45578</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45578</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45578</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45578</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45578</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45578</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45578</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45578</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45578</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45578</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45578</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45578</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45578</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45578</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45578</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45578</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45578</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45578</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45578</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45578</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45578</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45578</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45578</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45578</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45578</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45578</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45578</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45578</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45578</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45578</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45578</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45578</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45578</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45578</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45578</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45578</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45578</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45578</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45578</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45578</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45578</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45578</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45578</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45578</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45578</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45578</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45578</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45578</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45578</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45578</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45578</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45578</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45578</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45578</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45578</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45578</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45578</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45578</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45578</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45578</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45578</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45578</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45578</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45578</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45578</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45578</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45578</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45578</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45578</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45578</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45578</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45578</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45578</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45578</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45578</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45578</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45578</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45578</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45578</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45578</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45578</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45578</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45578</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45578</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45578</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45578</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45578</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45578</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45578</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45578</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45578</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45578</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45578</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45578</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45578</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45578</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45578</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45578</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45578</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45578</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45578</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45578</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45578</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45578</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45578</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45578</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45578</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45578</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45578</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45578</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45578</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45578</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45578</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45578</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45578</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45578</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45578</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45578</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45578</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45578</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45578</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45578</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45578</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45578</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45578</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45578</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45578</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45578</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45578</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45578</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45578</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45578</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45578</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45578</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45578</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45578</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45578</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45578</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45578</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45578</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45578</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45578</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45578</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45578</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45578</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45578</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45578</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45578</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45578</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45578</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45578</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45578</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45578</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45578</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45578</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45578</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45578</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45578</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45578</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45578</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45578</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45578</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45578</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45578</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45578</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45578</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45578</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45578</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45578</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45578</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45578</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45578</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45578</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45578</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45578</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45578</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45578</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45578</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45578</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45578</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45578</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45578</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45578</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45578</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45578</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45578</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45578</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45578</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45578</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45578</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45578</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45578</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45578</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45578</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45578</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45578</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45578</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45578</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45578</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45578</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45578</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45578</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45578</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45578</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45578</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45578</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45578</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45578</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45578</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45578</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45578</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45578</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45578</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45578</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45578</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45578</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45578</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45578</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45578</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45578</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45578</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45578</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45578</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45578</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45578</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45578</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45578</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45578</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45578</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45578</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45578</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45578</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45578</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45578</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45578</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45578</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45578</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45578</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45578</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45578</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45578</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45578</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45578</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45578</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45578</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45578</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45578</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45578</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45578</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45578</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45578</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45578</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45578</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45578</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45578</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45578</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45578</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45578</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45578</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45578</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45578</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45578</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45578</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45578</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45578</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45578</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45578</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45578</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45578</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45578</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45578</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45578</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45578</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45578</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45578</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45578</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45578</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45578</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45578</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45578</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45578</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45578</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45578</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45578</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45578</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45578</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45578</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45578</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45578</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45578</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45578</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45578</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45578</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45578</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45578</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45578</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45578</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45578</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45578</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45578</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45578</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45578</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45578</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45578</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45578</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45578</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45578</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45578</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45578</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45578</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45578</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45578</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45578</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45578</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45578</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45578</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45578</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45578</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45578</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45578</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45578</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45578</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45578</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45578</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45578</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45578</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45578</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45578</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45578</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45578</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45578</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45578</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45578</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45578</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45578</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45578</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45578</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45578</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45578</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45578</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45578</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45578</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45578</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45578</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45578</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45578</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45578</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45578</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45578</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45578</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45578</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45578</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45578</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45578</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45578</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45578</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45578</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45578</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45578</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45578</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45578</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45578</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45578</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45578</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45578</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45578</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45578</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45578</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45578</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45578</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45578</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45578</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45578</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45578</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45578</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45578</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45578</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45578</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45578</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45578</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45578</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45578</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45578</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45578</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45578</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45578</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45578</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45578</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45578</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45578</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45578</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45578</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45578</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45578</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45578</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45578</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45578</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45578</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45578</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45578</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45578</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45578</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45578</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45578</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45578</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45578</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45578</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45578</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45578</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45578</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45578</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45578</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45578</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45578</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45578</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45578</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45578</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45578</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45578</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45578</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45578</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45578</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45578</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45578</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45578</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45578</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45578</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45578</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45578</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45578</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45578</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45578</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45578</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45578</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45578</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45578</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45578</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45578</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45578</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45578</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45578</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45578</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45578</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45578</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45578</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45578</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45578</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45578</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45578</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45578</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45578</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45578</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45578</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45578</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45578</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45578</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45578</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45578</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45578</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45578</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45578</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45578</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45578</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45578</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45578</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45578</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45578</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45578</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45578</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45578</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45578</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45578</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45578</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45578</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45578</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45578</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45578</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45578</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45578</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45578</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45578</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45578</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45578</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45578</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45578</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45578</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45578</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45578</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45578</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45578</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45578</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45578</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45578</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45578</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45578</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45578</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45578</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45578</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45578</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45578</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45578</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45578</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45578</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45578</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45578</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45578</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45578</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45578</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45578</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45578</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45578</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45578</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45578</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45578</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45578</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45578</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45578</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45578</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45578</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45578</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45578</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45578</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45578</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45578</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45578</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45578</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45578</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45578</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45578</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45578</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45578</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45578</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45578</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45578</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45578</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45578</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45578</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45578</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45578</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45578</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45578</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45578</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45578</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45578</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45578</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45578</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45578</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45578</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45578</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45578</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45578</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45578</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45578</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45578</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45578</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45578</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45578</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45578</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45578</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45578</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45578</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45578</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45578</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45578</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45578</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45578</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45578</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45578</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45578</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45578</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45578</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45578</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45578</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45578</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45578</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45578</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45578</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45578</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45578</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45578</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45578</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45578</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45578</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45578</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45578</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45578</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45578</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45578</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45578</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45578</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45578</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45578</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45578</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45578</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45578</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45578</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45578</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45578</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45578</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45578</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45578</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45578</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45578</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45578</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45578</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45578</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45578</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45578</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45578</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45578</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45578</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45578</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45578</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45578</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45578</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45578</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45578</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45578</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45578</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45578</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45578</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45578</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45578</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45578</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45578</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45578</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45578</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45578</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45578</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45578</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45578</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45578</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45578</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45578</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45578</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45578</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45578</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45578</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45578</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45578</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45578</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45578</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45578</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45578</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45578</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45578</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45578</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45578</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45578</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45578</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45578</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45578</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45578</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45578</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45578</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45578</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45578</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45578</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45578</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45578</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45578</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45578</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45578</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45578</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45578</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45578</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45578</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45578</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45578</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45578</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45578</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45578</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45578</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45578</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45578</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45578</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45578</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45578</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45578</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45578</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45578</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45578</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45578</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45578</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45578</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45578</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45578</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45578</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45578</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45578</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45578</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45578</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45578</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45578</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45578</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45578</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45578</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45578</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45578</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45578</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45578</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45578</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45578</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45578</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45578</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45578</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45578</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45578</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45578</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45578</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45578</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45578</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45578</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45578</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45578</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45578</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45578</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45578</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45578</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45578</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45578</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45578</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45578</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45578</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45578</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45578</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45578</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45578</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45578</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45578</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45578</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45578</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45578</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45578</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45578</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45578</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45578</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45578</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45578</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45578</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45578</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45578</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45578</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45578</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45578</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45578</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45578</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45578</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45578</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45578</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45578</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45578</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45578</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45578</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45578</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45578</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45578</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45578</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45578</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45578</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45578</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45578</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45578</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45578</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45578</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45578</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45578</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45578</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45578</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45578</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45578</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45578</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45578</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45578</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45578</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45578</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45578</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45578</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45578</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45578</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45578</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45578</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45578</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45578</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45578</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45578</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45578</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45578</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45578</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45578</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45578</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45578</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45578</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45578</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45578</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45578</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45578</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45578</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45578</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45578</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45578</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45578</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45578</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45578</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45578</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45578</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45578</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45578</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45578</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45578</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45578</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45578</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45578</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45578</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45578</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45578</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45578</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45578</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45578</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45578</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45578</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45578</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45578</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45578</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45578</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45578</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45578</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45578</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45578</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45578</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45578</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45578</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45578</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45578</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45578</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45578</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45578</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45578</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45578</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45578</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45578</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45578</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45578</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45578</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45578</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45578</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45578</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45578</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45578</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45578</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45578</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45578</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45578</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45578</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45578</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45578</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45578</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45578</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45578</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45578</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45578</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45578</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45578</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45578</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45578</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45578</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45578</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45578</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45578</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45578</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45578</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45578</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45578</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45578</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45578</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45578</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45578</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45578</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45578</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45578</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45578</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45578</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45578</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45578</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45578</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45578</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45578</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45578</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45578</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45578</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45578</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45578</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45578</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45578</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45578</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45578</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45578</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45578</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45578</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45578</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45578</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45578</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45578</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45578</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45578</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45578</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45578</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45578</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45578</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45578</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45578</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45578</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45578</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45578</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45578</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45578</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45578</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45578</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45578</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45578</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45578</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45578</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45578</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45578</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45578</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45578</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45578</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45578</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45578</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45578</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45578</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45578</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45578</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45578</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45578</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45578</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45578</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45578</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45578</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45578</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45578</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45578</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45578</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45578</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45578</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45578</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45578</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45578</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45578</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45578</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45578</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45578</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45578</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45578</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45578</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45578</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45578</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45578</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45578</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45578</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45578</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45578</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45578</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45578</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45578</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45578</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45578</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45578</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45578</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45578</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45578</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45578</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45578</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45578</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45578</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45578</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45578</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45578</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45578</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45578</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45578</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45578</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45578</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45578</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45578</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45578</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45578</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45578</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45578</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45578</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45578</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45578</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45578</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45578</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45578</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45578</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45578</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45578</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45578</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45578</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45578</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45578</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45578</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45578</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45578</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45578</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45578</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45578</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45578</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45578</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45578</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45578</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45578</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45578</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45578</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45578</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45578</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45578</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45578</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45578</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45578</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45578</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45578</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45578</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45578</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45578</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45578</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45578</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45578</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45578</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45578</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45578</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45578</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45578</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45578</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45578</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45578</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45578</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45578</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45578</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45578</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45578</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45578</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45578</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45578</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45578</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45578</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45578</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45578</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45578</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45578</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45578</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45578</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45578</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45578</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45578</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45578</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45578</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45578</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45578</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45578</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45578</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45578</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45578</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45578</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45578</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45578</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45578</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45578</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45578</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45578</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45578</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45578</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45578</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45578</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45578</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45578</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45578</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45578</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45578</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45578</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45578</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45578</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45578</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45578</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45578</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45578</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45578</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45578</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45578</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45578</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45578</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45578</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45578</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45578</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45578</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45578</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45578</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45578</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45578</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45578</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45578</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45578</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45578</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45578</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45578</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45578</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45578</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45578</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45578</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45578</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45578</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45578</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45578</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45578</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45578</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45578</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45578</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45578</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45578</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45578</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45578</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45578</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45578</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45578</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45578</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45578</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45578</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45578</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45578</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45578</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45578</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45578</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45578</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45578</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45578</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45578</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45578</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45578</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45578</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45578</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45578</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45578</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45578</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45578</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45578</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45578</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45578</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45578</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45578</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45578</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45578</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45578</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45578</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45578</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45578</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45578</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45578</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45578</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45578</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45578</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45578</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45578</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45578</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45578</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45578</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45578</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45578</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45578</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45578</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45578</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45578</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45578</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45578</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45578</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45578</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45578</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45578</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45578</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45578</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45578</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45578</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45578</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45578</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45578</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45578</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45578</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45578</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45578</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45578</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45578</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45578</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45578</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45578</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45578</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45578</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45578</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45578</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45578</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45578</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45578</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45578</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45578</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45578</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45578</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45578</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45578</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45578</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45578</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45578</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45578</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45578</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45578</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45578</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45578</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45578</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45578</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45578</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45578</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45578</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45578</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45578</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45578</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45578</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45578</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45578</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45578</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45578</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45578</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45578</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45578</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45578</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45578</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45578</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45578</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45578</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45578</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45578</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45578</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45578</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45578</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45578</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45578</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45578</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45578</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45578</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45578</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45578</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45578</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45578</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45578</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45578</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45578</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45578</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45578</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45578</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45578</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45578</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45578</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45578</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45578</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45578</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45578</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45578</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45578</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45578</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45578</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45578</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45578</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45578</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45578</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45578</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45578</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45578</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45578</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45578</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45578</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45578</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45578</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45578</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45578</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45578</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45578</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45578</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45578</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45578</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45578</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45578</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45578</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45578</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45578</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45578</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45578</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45578</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45578</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45578</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45578</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45578</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45578</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45578</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45578</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45578</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45578</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45578</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45578</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45578</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45578</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45578</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45578</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45578</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45578</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45578</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45578</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45578</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45578</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45578</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45578</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45578</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45578</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45578</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45578</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45578</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45578</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45578</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45578</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45578</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45578</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45578</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45578</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45578</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45578</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45578</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45578</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45578</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45578</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45578</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45578</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45578</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45578</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45578</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45578</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45578</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45578</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45578</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45578</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45578</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45578</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45578</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45578</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45578</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45578</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45578</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45578</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45578</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45578</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45578</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45578</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45578</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45578</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45578</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45578</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45578</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45578</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45578</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45578</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45578</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45578</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45578</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45578</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45578</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45578</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45578</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45578</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45578</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45578</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45578</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45578</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45578</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45578</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45578</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45578</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45578</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45578</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45578</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45578</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45578</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45578</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45578</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45578</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45578</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45578</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45578</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45578</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45578</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45578</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45578</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45578</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45578</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45578</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45578</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45578</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45578</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45578</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45578</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45578</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45578</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45578</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45578</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45578</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45578</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45578</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45578</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45578</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45578</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45578</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45578</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45578</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45578</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45578</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45578</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45578</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45578</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45578</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45578</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45578</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45578</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45578</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45578</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45578</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45578</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45578</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45578</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45578</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45578</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45578</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45578</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45578</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45578</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45578</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45578</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45578</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45578</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45578</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45578</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45578</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45578</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45578</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45578</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45578</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45578</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45578</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45578</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45578</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45578</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45578</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45578</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45578</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45578</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45578</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45578</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45578</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45578</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45578</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45578</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45578</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45578</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45578</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45578</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45578</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45578</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45578</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45578</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45578</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45578</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45578</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45578</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45578</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45578</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45578</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45578</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45578</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45578</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45578</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45578</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45578</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45578</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45578</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45578</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45578</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45578</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45578</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45578</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45578</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45578</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45578</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45578</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45578</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45578</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45578</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45578</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45578</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45578</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45578</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45578</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45578</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45578</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45578</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45578</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45578</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45578</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45578</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45578</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45578</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45578</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45578</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45578</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45578</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45578</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45578</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45578</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45578</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45578</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45578</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45578</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45578</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45578</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45578</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45578</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45578</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45578</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45578</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45578</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45578</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45578</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45578</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45578</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45578</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45578</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45578</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45578</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45578</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45578</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45578</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45578</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45578</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45578</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45578</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45578</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45578</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45578</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45578</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45578</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45578</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45578</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45578</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45578</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45578</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45578</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45578</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45578</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45578</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45578</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45578</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45578</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45578</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45578</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45578</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45578</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45578</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45578</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45578</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45578</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45578</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45578</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45578</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45578</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45578</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45578</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45578</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45578</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45578</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45578</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45578</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45578</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45578</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45578</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45578</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45578</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45578</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45578</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45578</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45578</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45578</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45578</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45578</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45578</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45578</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45578</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45578</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45578</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45578</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45578</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45578</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45578</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45578</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45578</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45578</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45578</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45578</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45578</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45578</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45578</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45578</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45578</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45578</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45578</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45578</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45578</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45578</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45578</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45578</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45578</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45578</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45578</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45578</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45578</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45578</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45578</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45578</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45578</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45578</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45578</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45578</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45578</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45578</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45578</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45578</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45578</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45578</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45578</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45578</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45578</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45578</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45578</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45578</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45578</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45578</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45578</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45578</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45578</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45578</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45578</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45578</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45578</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45578</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45578</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45578</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45578</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45578</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45578</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45578</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45578</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45578</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45578</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45578</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45578</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45578</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45578</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45578</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45578</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45578</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45578</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45578</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45578</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45578</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45578</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45578</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45578</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45578</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45578</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45578</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45578</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45578</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45578</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45578</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45578</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45578</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45578</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45578</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45578</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45578</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45578</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45578</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45578</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45578</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45578</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45578</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45578</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45578</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45578</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45578</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45578</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45578</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45578</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45578</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45578</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45578</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45578</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45578</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45578</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45578</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45578</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45578</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45578</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45578</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45578</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45578</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45578</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45578</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45578</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45578</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45578</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45578</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45578</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45578</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45578</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45578</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45578</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45578</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45578</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45578</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45578</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45578</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45578</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45578</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45578</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45578</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45578</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45578</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45578</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45578</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45578</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45578</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45578</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45578</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45578</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45578</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45578</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45578</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45578</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45578</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45578</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45578</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45578</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45578</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45578</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45578</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45578</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45578</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45578</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45578</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45578</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45578</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45578</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45578</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45578</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45578</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45578</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45578</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45578</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45578</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45578</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45578</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45578</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45578</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45578</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45578</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45578</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45578</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45578</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45578</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45578</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45578</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45578</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45578</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45578</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45578</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45578</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45578</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45578</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45578</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45578</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45578</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45578</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45578</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45578</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45578</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45578</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45578</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45578</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45578</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45578</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45578</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45578</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45578</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45578</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45578</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45578</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45578</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45578</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45578</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45578</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45578</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45578</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45578</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45578</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45578</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45578</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45578</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45578</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45578</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45578</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45578</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45578</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45578</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45578</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45578</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45578</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45578</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45578</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45578</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45578</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45578</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45578</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45578</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45578</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45578</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45578</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45578</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45578</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45578</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45578</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45578</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45578</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45578</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45578</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45578</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45578</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45578</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45578</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45578</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45578</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45578</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45578</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45578</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45578</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45578</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45578</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45578</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45578</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45578</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45578</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45578</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45578</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45578</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45578</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45578</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45578</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45578</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45578</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45578</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45578</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45578</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45578</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45578</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45578</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45578</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45578</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45578</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45578</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45578</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45578</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45578</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45578</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45578</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45578</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45578</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45578</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45578</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45578</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45578</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45578</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45578</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45578</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45578</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45578</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45578</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45578</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45578</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45578</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45578</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45578</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45578</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45578</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45578</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45578</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45578</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45578</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45578</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45578</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45578</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45578</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45578</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45578</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45578</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45578</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45578</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45578</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45578</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45578</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45578</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45578</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45578</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45578</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45578</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45578</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45578</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45578</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45578</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45578</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45578</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45578</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45578</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45578</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45578</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45578</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45578</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45578</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45578</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45578</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45578</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45578</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45578</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45578</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45578</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45578</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45578</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45578</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45578</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45578</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45578</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45578</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45578</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45578</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45578</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45578</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45578</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45578</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45578</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45578</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45578</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45578</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45578</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45578</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45578</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45578</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45578</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45578</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45578</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45578</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45578</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45578</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45578</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45578</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45578</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45578</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45578</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45578</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45578</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45578</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45578</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45578</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45578</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45578</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45578</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45578</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45578</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45578</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45578</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45578</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45578</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45578</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45578</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45578</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45578</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45578</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45578</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45578</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45578</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45578</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45578</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45578</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45578</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45578</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45578</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45578</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45578</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45578</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45578</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45578</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45578</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45578</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45578</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45578</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45578</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45578</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45578</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45578</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45578</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45578</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45578</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45578</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45578</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45578</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45578</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45578</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45578</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45578</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45578</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45578</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45578</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45578</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45578</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45578</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45578</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45578</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45578</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45578</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45578</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45578</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45578</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45578</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45578</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45578</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45578</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45578</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45578</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45578</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45578</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45578</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45578</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45578</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45578</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45578</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45578</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45578</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45578</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45578</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45578</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45578</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45578</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45578</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45578</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45578</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45578</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45578</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45578</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45578</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45578</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45578</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45578</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45578</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45578</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45578</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45578</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45578</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45578</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45578</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45578</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45578</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45578</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45578</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45578</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45578</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45578</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45578</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45578</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45578</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45578</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45578</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45578</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45578</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45578</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45578</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45578</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45578</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45578</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45578</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45578</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45578</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45578</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45578</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45578</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45578</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45578</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45578</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45578</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45578</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45578</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45578</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45578</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45578</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45578</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45578</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45578</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45578</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45578</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45578</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45578</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45578</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45578</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45578</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45578</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45578</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45578</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45578</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45578</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45578</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45578</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45578</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45578</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45578</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45578</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45578</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45578</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45578</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45578</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45578</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45578</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45578</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45578</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45578</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45578</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45578</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45578</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45578</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45578</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45578</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45578</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45578</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45578</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45578</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45578</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45578</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45578</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45578</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45578</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45578</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45578</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45578</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45578</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45578</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45578</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45578</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45578</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45578</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45578</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45578</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45578</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45578</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45578</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45578</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45578</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45578</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45578</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45578</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45578</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45578</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45578</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45578</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45578</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45578</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45578</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45578</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45578</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45578</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45578</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45578</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45578</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45578</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45578</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45578</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45578</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45578</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45578</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45578</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45578</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45578</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45578</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45578</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45578</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45578</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45578</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45578</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45578</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45578</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45578</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45578</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45578</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45578</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45578</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45578</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45578</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45578</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45578</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45578</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45578</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45578</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45578</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45578</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45578</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45578</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45578</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45578</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45578</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45578</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45578</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45578</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45578</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45578</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45578</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45578</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45578</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45578</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45578</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45578</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45578</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45578</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45578</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45578</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45578</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45578</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45578</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45578</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45578</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45578</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45578</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45578</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45578</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45578</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45578</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45578</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45578</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45578</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45578</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45578</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45578</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45578</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45578</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45578</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45578</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45578</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45578</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45578</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45578</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45578</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45578</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45578</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45578</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45578</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45578</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45578</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45578</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45578</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45578</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45578</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45578</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45578</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45578</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45578</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45578</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45578</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45578</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45578</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45578</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45578</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45578</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45578</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45578</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45578</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45578</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45578</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45578</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45578</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45578</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45578</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45578</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45578</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45578</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45578</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45578</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45578</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45578</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45578</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45578</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45578</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45578</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45578</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45578</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45578</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45578</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45578</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45578</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45578</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45578</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45578</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45578</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45578</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45578</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45578</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45578</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45578</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45578</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45578</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45578</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45578</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45578</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45578</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45578</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45578</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45578</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45578</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45578</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45578</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45578</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45578</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45578</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45578</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45578</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45578</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45578</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45578</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45578</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45578</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45578</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45578</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45578</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45578</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45578</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45578</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45578</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45578</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45578</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45578</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45578</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45578</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45578</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45578</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45578</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45578</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45578</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45578</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45578</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45578</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45578</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45578</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45578</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45578</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45578</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45578</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45578</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45578</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45578</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45578</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45578</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45578</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45578</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45578</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45578</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45578</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45578</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45578</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45578</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45578</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45578</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45578</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45578</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45578</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45578</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45578</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45578</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45578</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45578</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45578</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45578</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45578</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45578</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45578</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45578</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45578</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45578</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45578</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45578</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45578</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45578</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45578</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45578</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45578</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45578</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45578</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45578</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45578</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45578</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45578</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45578</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45578</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45578</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45578</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45578</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45578</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45578</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45578</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45578</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45578</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45578</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45578</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45578</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45578</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45578</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45578</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45578</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45578</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45578</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45578</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45578</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45578</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45578</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45578</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45578</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45578</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45578</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45578</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45578</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45578</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45578</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45578</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45578</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45578</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45578</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45578</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45578</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45578</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45578</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45578</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45578</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45578</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45578</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45578</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45578</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45578</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45578</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45578</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45578</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45578</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45578</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45578</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45578</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45578</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45578</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45578</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45578</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45578</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45578</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45578</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45578</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45578</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45578</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45578</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45578</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45578</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45578</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45578</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45578</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45578</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45578</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45578</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45578</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45578</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45578</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45578</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45578</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45578</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45578</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45578</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45578</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45578</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45578</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45578</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45578</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45578</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45578</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45578</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45578</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45578</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45578</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45578</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45578</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45578</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45578</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45578</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45578</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45578</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45578</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45578</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45578</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45578</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45578</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45578</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45578</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45578</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45578</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45578</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45578</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45578</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45578</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45578</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45578</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45578</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45578</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45578</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45578</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45578</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45578</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45578</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45578</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45578</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45578</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45578</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45578</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45578</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45578</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45578</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45578</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45578</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45578</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45578</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45578</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45578</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45578</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45578</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45578</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45578</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45578</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45578</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45578</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45578</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45578</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45578</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45578</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45578</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45578</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45578</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45578</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45578</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45578</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45578</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45578</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45578</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45578</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45578</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45578</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45578</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45578</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45578</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45578</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45578</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45578</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45578</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45578</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45578</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45578</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45578</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45578</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45578</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45578</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45578</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45578</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45578</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45578</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45578</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45578</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45578</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45578</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45578</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45578</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45578</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45578</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45578</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45578</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45578</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45578</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45578</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45578</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45578</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45578</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45578</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45578</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45578</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45578</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45578</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45578</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45578</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45578</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45578</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45578</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45578</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45578</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45578</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45578</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45578</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45578</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45578</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45578</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45578</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45578</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45578</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45578</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45578</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45578</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45578</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45578</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45578</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45578</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45578</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45578</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45578</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45578</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45578</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45578</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45578</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45578</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45578</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45578</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45578</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45578</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45578</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45578</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45578</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45578</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45578</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45578</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45578</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45578</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45578</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45578</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45578</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45578</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45578</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45578</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45578</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45578</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45578</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45578</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45578</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45578</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45578</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45578</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45578</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45578</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45578</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45578</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45578</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45578</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45578</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45578</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45578</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45578</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45578</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45578</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45578</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45578</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45578</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45578</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45578</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45578</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45578</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45578</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45578</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45578</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45578</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45578</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45578</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45578</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45578</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45578</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45578</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45578</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45578</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45578</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45578</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45578</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45578</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45578</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45578</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45578</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45578</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45578</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45578</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45578</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45578</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45578</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45578</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45578</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45578</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45578</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45578</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45578</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45578</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45578</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45578</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45578</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45578</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45578</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45578</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45578</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45578</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45578</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45578</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45578</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45578</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45578</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45578</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45578</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45578</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45578</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45578</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45578</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45578</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45578</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45578</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45578</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45578</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45578</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45578</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45578</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45578</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45578</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45578</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45578</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45578</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45578</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45578</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45578</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45578</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45578</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45578</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45578</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45578</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45578</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45578</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45578</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45578</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45578</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45578</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45578</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45578</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45578</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45578</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45578</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45578</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45578</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45578</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45578</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45578</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45578</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45578</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45578</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45578</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45578</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45578</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45578</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45578</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45578</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45578</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45578</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45578</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45578</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45578</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45578</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45578</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45578</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45578</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45578</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45578</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45578</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45578</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45578</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45578</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45578</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45578</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45578</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45578</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45578</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45578</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45578</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45578</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45578</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45578</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45578</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45578</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45578</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45578</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45578</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45578</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45578</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45578</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45578</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45578</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45578</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45578</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45578</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45578</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45578</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45578</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45578</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45578</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45578</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45578</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45578</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45578</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45578</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45578</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45578</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45578</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45578</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45578</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45578</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45578</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45578</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45578</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45578</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45578</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45578</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45578</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45578</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45578</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45578</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45578</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45578</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45578</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45578</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45578</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45578</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45578</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45578</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45578</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45578</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45578</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45578</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45578</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45578</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45578</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45578</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45578</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45578</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45578</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45578</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45578</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45578</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45578</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45578</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45578</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45578</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45578</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45578</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45578</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45578</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45578</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45578</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45578</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45578</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45578</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45578</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45578</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45578</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45578</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45578</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45578</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45578</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45578</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45578</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45578</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45578</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45578</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45578</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45578</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45578</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45578</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45578</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45578</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45578</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45578</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45578</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45578</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45578</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45578</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45578</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45578</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45578</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45578</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45578</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45578</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45578</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45578</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45578</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45578</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45578</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45578</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45578</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45578</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45578</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45578</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45578</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45578</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45578</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45578</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45578</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45578</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45578</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45578</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45578</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45578</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45578</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45578</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45578</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45578</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45578</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45578</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45578</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45578</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45578</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45578</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45578</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45578</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45578</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45578</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45578</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45578</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45578</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45578</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45578</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45578</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45578</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45578</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45578</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45578</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45578</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45578</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45578</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45578</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45578</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45578</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45578</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45578</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45578</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45578</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45578</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45578</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45578</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45578</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45578</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45578</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45578</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45578</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45578</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45578</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45578</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45578</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45578</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45578</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45578</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45578</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45578</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45578</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45578</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45578</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45578</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45578</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45578</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45578</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45578</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45578</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45578</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45578</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45578</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45578</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45578</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45578</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45578</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45578</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45578</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45578</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45578</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45578</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45578</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45578</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45578</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45578</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45578</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45578</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45578</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45578</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45578</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45578</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45578</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45578</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45578</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45578</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45578</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45578</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45578</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45578</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45578</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45578</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45578</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45578</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45578</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45578</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45578</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45578</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45578</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45578</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45578</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45578</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45578</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45578</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45578</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45578</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45578</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45578</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45578</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45578</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45578</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45578</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45578</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45578</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45578</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45578</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45578</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45578</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45578</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45578</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45578</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45578</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45578</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45578</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45578</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45578</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45578</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45578</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45578</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45578</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45578</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45578</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45578</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45578</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45578</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45578</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45578</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45578</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45578</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45578</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45578</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45578</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45578</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45578</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45578</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45578</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45578</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45578</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45578</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45578</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45578</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45578</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45578</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45578</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45578</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45578</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45578</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45578</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45578</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45578</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45578</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45578</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45578</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45578</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45578</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45578</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45578</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45578</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45578</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45578</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45578</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45578</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45578</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45578</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45578</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45578</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45578</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45578</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45578</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45578</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45578</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45578</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45578</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45578</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45578</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45578</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45578</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45578</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45578</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45578</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45578</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45578</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45578</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45578</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45578</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45578</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45578</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45578</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45578</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45578</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45578</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45578</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45578</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45578</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45578</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45578</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45578</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45578</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45578</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45578</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45578</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45578</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45578</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45578</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45578</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45578</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45578</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45578</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45578</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45578</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45578</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45578</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45578</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45578</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45578</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45578</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45578</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45578</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45578</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45578</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45578</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45578</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45578</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45578</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45578</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45578</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45578</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45578</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45578</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45578</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45578</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45578</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45578</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45578</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45578</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45578</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45578</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45578</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45578</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45578</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45578</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45578</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45578</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45578</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45578</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45578</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45578</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45578</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45578</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45578</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45578</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45578</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45578</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45578</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45578</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45578</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45578</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45578</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45578</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45578</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45578</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45578</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45578</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45578</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45578</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45578</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45578</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45578</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45578</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45578</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45578</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45578</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45578</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45578</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45578</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45578</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45578</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45578</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45578</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45578</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45578</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45578</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45578</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45578</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45578</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45578</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45578</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45578</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45578</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45578</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45578</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45578</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45578</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45578</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45578</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45578</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45578</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45578</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45578</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45578</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45578</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45578</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45578</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45578</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45578</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45578</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45578</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45578</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45578</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45578</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45578</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45578</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45578</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45578</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45578</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45578</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45578</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45578</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45578</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45578</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45578</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45578</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45578</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45578</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45578</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45578</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45578</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45578</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45578</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45578</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45578</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45578</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45578</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45578</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45578</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45578</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45578</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45578</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45578</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45578</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45578</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45578</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45578</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45578</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45578</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45578</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45578</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45578</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45578</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45578</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45578</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45578</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45578</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45578</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45578</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45578</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45578</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45578</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45578</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45578</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45578</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45578</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45578</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45578</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45578</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45578</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45578</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45578</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45578</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45578</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45578</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45578</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45578</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45578</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45578</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45578</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45578</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45578</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45578</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45578</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45578</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45578</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45578</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45578</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45578</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45578</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45578</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45578</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45578</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45578</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45578</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45578</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45578</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45578</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45578</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45578</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45578</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45578</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45578</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45578</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45578</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45578</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45578</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45578</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45578</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45578</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45578</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45578</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45578</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45578</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45578</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45578</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45578</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45578</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45578</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45578</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45578</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45578</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45578</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45578</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45578</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45578</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45578</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45578</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45578</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45578</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45578</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45578</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45578</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45578</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45578</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45578</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45578</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45578</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45578</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45578</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45578</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45578</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45578</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45578</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45578</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45578</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45578</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45578</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45578</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45578</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45578</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45578</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45578</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45578</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45578</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45578</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45578</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45578</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45578</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45578</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45578</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45578</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45578</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45578</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45578</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45578</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45578</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45578</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45578</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45578</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45578</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45578</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45578</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45578</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45578</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45578</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45578</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45578</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45578</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45578</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45578</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45578</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45578</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45578</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45578</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45578</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45578</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45578</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45578</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45578</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45578</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45578</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45578</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45578</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45578</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45578</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45578</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45578</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45578</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45578</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45578</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45578</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45578</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45578</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45578</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45578</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45578</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45578</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45578</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45578</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45578</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45578</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45578</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45578</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45578</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45578</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45578</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45578</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45578</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45578</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45578</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45578</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45578</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45578</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45578</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45578</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45578</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45578</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45578</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45578</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45578</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45578</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45578</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45578</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45578</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45578</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45578</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45578</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45578</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45578</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45578</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45578</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45578</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45578</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45578</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45578</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45578</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45578</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45578</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45578</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45578</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45578</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45578</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45578</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45578</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45578</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45578</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45578</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45578</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45578</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45578</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45578</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45578</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45578</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45578</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45578</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45578</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45578</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45578</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45578</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45578</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45578</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45578</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45578</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45578</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45578</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45578</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45578</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45578</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45578</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45578</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45578</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45578</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45578</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45578</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45578</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45578</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45578</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45578</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45578</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45578</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45578</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45578</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45578</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45578</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45578</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45578</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45578</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45578</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45578</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45578</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45578</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45578</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45578</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45578</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45578</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45578</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45578</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45578</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45578</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45578</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45578</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45578</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45578</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45578</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45578</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45578</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45578</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45578</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45578</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45578</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45578</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45578</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45578</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45578</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45578</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45578</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45578</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45578</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45578</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45578</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45578</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45578</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45578</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45578</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45578</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45578</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45578</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45578</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45578</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45578</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45578</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45578</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45578</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45578</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45578</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45578</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45578</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45578</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45578</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45578</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45578</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45578</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45578</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45578</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45578</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45578</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45578</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45578</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45578</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45578</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45578</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45578</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45578</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45578</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45578</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45578</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45578</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45578</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45578</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45578</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45578</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45578</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45578</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45578</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45578</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45578</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45578</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45578</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45578</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45578</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45578</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45578</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45578</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45578</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45578</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45578</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45578</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45578</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45578</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45578</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45578</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45578</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45578</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45578</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45578</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45578</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45578</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45578</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45578</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45578</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45578</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45578</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45578</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45578</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45578</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45578</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45578</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45578</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45578</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45578</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45578</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45578</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45578</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45578</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45578</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45578</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45578</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45578</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45578</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45578</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45578</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45578</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45578</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45578</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45578</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45578</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45578</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45578</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45578</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45578</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45578</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45578</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45578</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45578</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45578</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45578</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45578</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45578</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45578</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45578</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45578</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45578</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45578</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45578</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45578</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45578</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45578</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45578</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45578</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45578</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45578</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45578</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45578</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45578</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45578</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45578</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45578</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45578</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45578</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45578</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45578</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45578</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45578</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45578</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45578</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45578</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45578</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45578</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45578</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45578</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45578</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45578</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45578</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45578</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45578</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45578</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45578</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45578</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45578</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45578</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45578</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45578</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45578</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45578</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45578</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45578</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45578</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45578</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45578</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45578</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45578</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45578</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45578</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45578</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45578</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45578</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45578</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45578</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45578</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45578</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45578</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45578</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45578</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45578</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45578</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45578</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45578</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45578</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45578</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45578</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45578</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45578</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45578</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45578</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45578</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45578</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45578</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45578</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45578</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45578</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45578</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45578</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45578</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45578</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45578</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45578</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45578</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45578</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45578</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45578</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45578</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45578</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45578</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45578</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45578</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45578</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45578</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45578</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45578</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45578</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45578</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45578</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45578</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45578</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45578</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45578</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45578</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45578</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45578</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45578</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45578</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45578</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45578</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45578</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45578</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45578</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45578</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45578</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45578</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45578</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45578</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45578</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45578</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45578</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45578</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45578</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45578</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45578</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45578</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45578</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45578</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45578</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45578</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45578</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45578</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45578</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45578</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45578</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45578</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45578</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45578</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45578</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45578</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45578</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45578</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45578</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45578</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45578</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45578</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45578</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45578</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45578</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45578</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45578</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45578</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45578</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45578</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45578</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45578</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45578</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45578</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45578</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45578</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45578</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45578</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45578</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45578</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45578</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45578</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45578</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45578</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45578</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45578</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45578</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45578</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45578</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45578</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45578</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45578</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45578</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45578</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45578</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45578</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45578</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45578</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45578</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45578</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45578</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45578</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45578</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45578</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45578</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45578</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45578</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45578</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45578</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45578</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45578</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45578</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45578</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45578</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45578</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45578</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45578</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45578</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45578</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45578</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45578</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45578</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45578</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45578</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45578</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45578</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45578</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45578</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45578</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45578</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45578</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45578</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45578</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45578</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45578</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45578</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45578</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45578</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45578</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45578</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45578</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45578</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45578</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45578</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45578</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45578</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45578</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45578</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45578</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45578</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45578</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45578</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45578</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45578</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45578</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45578</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45578</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45578</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45578</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45578</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45578</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45578</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45578</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45578</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45578</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45578</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45578</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45578</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45578</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45578</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45578</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45578</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45578</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45578</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45578</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45578</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45578</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45578</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45578</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45578</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45578</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45578</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45578</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45578</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45578</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45578</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45578</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45578</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45578</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45578</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45578</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45578</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45578</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45578</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45578</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45578</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45578</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45578</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45578</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45578</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45578</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45578</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45578</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45578</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45578</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45578</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45578</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45578</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45578</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45578</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45578</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45578</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45578</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45578</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45578</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45578</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45578</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45578</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45578</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45578</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45578</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45578</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45578</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45578</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45578</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45578</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45578</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45578</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45578</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45578</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45578</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45578</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45578</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45578</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45578</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45578</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45578</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45578</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45578</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45578</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45578</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45578</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45578</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45578</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45578</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45578</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45578</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45578</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45578</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45578</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45578</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45578</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45578</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45578</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45578</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45578</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45578</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45578</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45578</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45578</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45578</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45578</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45578</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45578</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45578</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45578</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45578</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45578</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45578</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45578</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45578</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45578</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45578</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45578</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45578</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45578</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45578</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45578</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45578</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45578</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45578</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45578</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45578</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45578</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45578</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45578</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45578</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45578</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45578</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45578</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45578</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45578</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45578</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45578</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45578</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45578</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45578</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45578</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45578</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45578</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45578</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45578</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45578</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45578</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45578</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45578</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45578</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45578</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45578</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45578</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45578</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45578</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45578</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45578</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45578</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45578</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45578</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45578</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45578</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45578</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45578</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45578</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45578</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45578</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45578</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45578</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45578</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45578</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45578</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45578</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45578</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45578</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45578</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45578</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45578</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45578</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45578</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45578</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45578</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45578</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45578</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45578</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45578</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45578</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45578</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45578</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45578</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45578</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45578</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45578</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45578</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45578</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45578</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45578</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45578</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45578</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45578</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45578</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45578</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45578</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45578</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45578</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45578</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45578</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45578</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45578</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45578</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45578</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45578</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45578</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45578</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45578</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45578</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45578</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45578</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45578</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45578</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45578</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45578</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45578</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45578</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45578</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45578</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45578</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45578</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45578</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45578</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45578</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45578</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45578</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45578</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45578</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45578</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45578</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45578</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45578</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45578</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45578</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45578</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45578</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45578</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45578</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45578</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45578</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45578</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45578</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45578</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45578</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45578</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45578</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45578</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45578</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45578</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45578</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45578</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45578</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45578</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45578</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45578</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45578</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45578</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45578</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45578</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45578</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45578</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45578</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45578</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45578</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45578</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45578</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45578</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45578</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45578</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45578</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45578</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45578</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45578</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45578</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45578</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45578</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45578</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45578</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45578</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45578</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45578</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45578</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45578</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45578</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45578</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45578</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45578</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45578</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45578</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45578</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45578</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45578</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45578</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45578</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45578</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45578</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45578</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45578</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45578</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45578</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45578</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45578</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45578</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45578</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45578</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45578</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45578</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45578</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45578</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45578</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45578</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45578</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45578</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45578</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45578</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45578</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45578</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45578</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45578</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45578</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45578</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45578</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45578</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45578</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45578</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45578</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45578</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45578</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45578</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45578</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45578</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45578</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45578</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45578</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45578</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45578</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45578</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45578</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45578</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45578</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45578</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45578</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45578</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45578</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45578</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45578</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45578</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45578</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45578</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45578</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45578</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45578</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45578</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45578</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45578</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45578</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45578</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45578</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45578</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45578</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45578</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45578</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45578</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45578</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45578</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45578</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45578</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45578</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45578</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45578</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45578</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45578</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45578</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45578</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45578</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45578</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45578</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45578</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45578</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45578</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45578</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45578</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45578</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45578</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45578</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45578</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45578</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45578</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45578</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45578</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45578</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45578</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45578</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45578</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45578</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45578</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45578</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45578</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45578</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45578</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45578</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45578</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45578</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45578</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45578</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45578</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45578</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45578</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45578</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45578</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45578</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45578</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45578</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45578</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45578</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45578</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45578</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45578</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45578</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45578</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45578</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45578</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45578</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45578</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45578</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45578</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45578</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45578</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45578</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45578</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45578</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45578</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45578</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45578</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45578</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45578</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45578</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45578</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45578</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45578</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45578</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45578</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45578</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45578</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45578</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45578</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45578</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45578</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45578</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45578</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45578</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45578</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45578</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45578</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45578</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45578</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45578</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45578</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45578</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45578</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45578</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45578</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45578</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45578</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45578</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45578</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45578</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45578</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45578</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45578</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45578</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45578</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45578</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45578</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45578</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45578</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45578</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45578</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45578</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45578</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45578</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45578</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45578</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45578</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45578</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45578</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45578</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45578</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45578</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45578</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45578</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45578</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45578</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45578</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45578</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45578</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45578</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45578</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45578</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45578</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45578</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45578</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45578</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45578</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45578</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45578</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45578</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45578</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45578</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45578</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45578</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45578</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45578</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45578</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45578</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45578</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45578</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45578</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45578</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45578</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45578</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45578</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45578</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45578</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45578</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45578</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45578</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45578</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45578</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45578</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45578</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45578</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45578</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45578</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45578</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45578</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45578</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45578</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45578</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45578</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45578</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45578</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45578</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45578</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45578</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45578</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45578</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45578</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45578</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45578</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45578</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45578</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45578</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45578</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45578</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45578</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45578</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45578</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45578</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45578</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45578</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45578</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45578</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45578</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45578</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45578</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45578</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45578</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45578</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45578</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45578</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45578</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45578</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45578</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45578</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45578</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45578</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45578</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45578</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45578</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45578</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45578</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45578</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45578</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45578</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45578</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45578</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45578</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45578</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45578</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45578</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45578</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45578</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45578</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45578</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45578</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45578</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45578</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45578</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45578</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45578</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45578</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45578</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45578</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45578</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45578</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45578</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45578</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45578</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45578</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45578</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45578</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45578</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45578</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45578</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45578</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45578</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45578</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45578</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45578</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45578</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45578</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45578</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45578</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45578</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45578</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45578</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45578</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45578</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45578</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45578</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45578</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45578</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45578</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45578</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45578</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45578</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45578</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45578</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45578</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45578</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45578</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45578</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45578</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45578</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45578</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45578</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45578</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45578</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45578</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45578</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45578</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45578</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45578</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45578</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45578</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45578</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45578</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45578</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45578</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45578</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45578</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45578</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45578</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45578</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45578</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45578</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45578</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45578</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45578</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45578</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45578</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45578</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45578</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45578</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45578</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45578</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45578</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45578</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45578</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45578</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45578</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45578</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45578</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45578</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45578</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45578</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45578</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45578</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45578</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45578</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45578</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45578</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45578</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45578</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45578</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45578</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45578</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45578</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45578</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45578</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45578</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45578</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45578</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45578</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45578</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45578</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45578</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45578</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45578</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45578</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45578</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45578</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45578</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45578</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45578</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45578</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45578</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45578</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45578</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45578</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45578</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45578</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45578</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45578</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45578</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45578</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45578</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45578</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45578</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45578</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45578</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45578</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45578</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45578</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45578</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45578</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45578</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45578</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45578</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45578</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45578</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45578</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45578</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45578</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45578</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45578</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45578</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45578</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45578</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45578</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45578</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45578</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45578</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45578</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45578</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45578</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45578</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45578</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45578</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45578</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45578</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45578</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45578</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45578</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45578</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45578</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45578</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45578</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45578</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45578</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45578</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45578</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45578</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45578</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45578</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45578</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45578</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45578</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45578</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45578</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45578</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45578</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45578</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45578</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45578</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45578</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45578</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45578</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45578</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45578</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45578</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45578</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45578</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45578</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45578</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45578</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45578</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45578</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45578</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45578</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45578</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45578</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45578</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45578</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45578</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45578</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45578</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45578</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45578</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45578</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45578</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45578</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45578</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45578</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45578</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45578</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45578</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45578</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45578</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45578</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45578</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45578</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45578</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45578</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45578</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45578</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45578</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45578</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45578</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45578</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45578</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45578</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45578</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45578</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45578</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45578</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45578</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45578</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45578</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45578</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45578</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45578</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45578</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45578</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45578</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45578</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45578</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45578</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45578</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45578</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45578</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45578</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45578</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45578</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45578</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45578</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45578</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45578</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45578</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45578</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45578</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45578</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45578</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45578</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45578</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45578</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45578</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45578</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45578</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45578</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45578</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45578</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45578</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45578</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45578</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45578</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45578</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45578</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45578</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45578</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45578</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45578</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45578</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45578</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45578</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45578</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45578</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45578</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45578</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45578</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45578</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45578</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45578</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45578</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45578</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45578</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45578</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45578</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45578</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45578</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45578</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45578</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45578</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45578</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45578</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45578</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45578</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45578</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45578</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45578</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45578</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45578</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45578</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45578</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45578</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45578</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45578</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45578</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45578</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45578</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45578</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45578</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45578</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45578</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45578</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45578</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45578</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45578</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45578</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45578</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45578</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45578</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45578</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45578</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45578</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45578</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45578</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45578</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45578</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45578</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45578</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45578</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45578</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45578</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45578</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45578</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45578</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45578</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45578</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45578</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45578</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45578</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45578</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45578</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45578</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45578</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45578</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45578</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45578</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45578</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45578</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45578</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45578</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45578</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45578</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45578</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45578</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45578</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45578</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45578</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45578</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45578</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45578</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45578</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45578</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45578</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45578</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45578</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45578</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45578</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45578</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45578</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45578</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45578</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45578</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45578</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45578</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45578</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45578</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45578</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45578</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45578</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45578</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45578</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45578</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45578</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45578</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45578</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45578</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45578</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45578</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45578</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45578</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45578</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45578</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45578</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45578</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45578</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45578</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45578</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45578</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45578</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45578</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45578</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45578</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45578</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45578</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45578</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45578</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45578</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45578</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45578</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45578</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45578</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45578</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45578</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45578</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45578</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45578</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45578</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45578</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45578</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45578</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45578</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45578</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45578</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45578</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45578</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45578</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45578</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45578</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45578</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45578</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45578</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45578</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45578</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45578</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45578</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45578</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45578</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45578</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45578</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45578</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45578</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45578</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45578</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45578</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45578</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45578</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45578</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45578</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45578</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45578</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45578</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45578</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45578</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45578</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45578</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45578</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45578</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45578</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45578</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45578</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45578</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45578</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45578</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45578</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45578</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45578</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45578</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45578</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45578</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45578</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45578</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45578</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45578</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45578</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45578</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45578</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45578</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45578</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45578</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45578</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45578</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45578</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45578</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45578</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45578</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45578</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45578</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45578</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45578</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45578</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45578</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45578</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45578</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45578</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45578</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45578</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45578</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45578</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45578</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45578</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45578</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45578</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45578</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45578</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45578</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45578</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45578</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45578</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45578</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45578</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45578</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45578</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45578</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45578</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45578</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45578</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45578</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45578</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45578</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45578</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45578</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45578</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45578</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45578</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45578</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45578</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45578</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45578</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45578</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45578</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45578</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45578</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45578</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45578</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45578</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45578</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45578</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45578</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45578</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45578</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45578</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45578</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45578</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45578</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45578</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45578</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45578</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45578</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45578</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45578</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45578</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45578</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45578</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45578</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45578</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45578</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45578</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45578</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45578</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45578</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45578</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45578</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45578</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45578</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45578</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45578</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45578</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45578</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45578</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45578</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45578</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45578</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45578</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45578</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45578</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45578</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45578</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45578</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45578</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45578</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45578</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45578</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45578</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45578</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45578</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45578</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45578</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45578</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45578</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45578</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45578</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45578</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45578</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45578</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45578</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45578</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45578</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45578</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45578</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45578</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45578</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45578</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45578</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45578</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45578</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45578</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45578</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45578</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45578</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45578</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45578</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45578</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45578</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45578</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45578</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45578</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45578</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45578</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45578</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45578</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45578</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45578</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45578</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45578</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45578</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45578</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45578</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45578</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45578</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45578</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45578</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45578</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45578</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45578</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45578</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45578</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45578</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45578</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45578</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45578</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45578</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45578</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45578</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45578</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45578</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45578</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45578</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45578</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45578</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45578</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45578</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45578</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45578</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45578</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45578</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45578</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45578</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45578</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45578</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45578</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45578</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45578</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45578</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45578</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45578</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45578</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45578</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45578</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45578</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45578</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45578</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45578</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45578</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45578</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45578</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45578</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45578</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45578</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45578</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45578</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45578</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45578</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45578</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45578</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45578</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45578</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45578</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45578</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45578</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45578</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45578</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45578</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45578</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45578</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45578</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45578</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45578</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45578</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45578</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45578</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45578</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45578</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45578</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45578</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45578</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45578</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45578</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45578</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45578</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45578</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45578</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45578</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45578</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45578</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45578</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45578</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45578</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45578</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45578</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45578</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45578</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45578</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45578</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45578</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45578</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45578</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45578</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45578</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45578</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45578</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45578</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45578</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45578</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45578</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45578</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45578</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45578</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45578</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45578</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45578</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45578</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45578</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45578</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45578</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45578</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45578</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45578</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45578</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45578</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45578</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45578</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45578</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45578</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45578</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45578</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45578</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45578</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45578</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45578</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45578</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45578</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45578</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45578</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45578</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45578</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45578</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45578</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45578</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45578</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45578</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45578</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45578</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45578</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45578</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45578</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45578</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45578</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45578</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45578</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45578</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45578</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45578</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45578</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45578</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45578</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45578</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45578</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45578</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45578</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45578</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45578</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45578</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45578</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45578</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45578</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45578</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45578</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45578</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45578</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45578</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45578</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45578</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45578</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45578</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45578</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45578</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45578</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45578</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45578</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45578</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45578</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45578</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45578</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45578</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45578</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45578</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45578</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45578</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45578</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45578</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45578</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45578</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45578</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45578</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45578</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45578</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45578</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45578</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45578</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45578</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45578</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45578</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45578</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45578</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45578</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45578</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45578</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45578</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45578</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45578</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45578</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45578</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45578</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45578</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45578</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45578</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45578</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45578</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45578</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45578</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45578</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45578</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45578</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45578</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45578</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45578</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45578</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45578</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45578</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45578</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45578</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45578</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45578</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45578</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45578</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45578</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45578</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45578</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45578</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45578</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45578</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45578</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45578</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45578</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45578</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45578</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45578</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45578</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45578</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45578</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45578</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45578</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45578</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45578</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45578</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45578</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45578</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45578</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45578</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45578</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45578</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45578</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45578</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45578</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45578</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45578</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45578</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45578</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45578</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45578</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45578</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45578</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45578</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45578</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45578</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45578</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45578</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45578</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45578</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45578</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45578</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45578</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45578</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45578</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45578</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45578</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45578</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45578</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45578</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45578</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45578</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45578</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45578</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45578</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45578</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45578</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45578</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45578</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45578</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45578</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45578</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45578</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45578</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45578</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45578</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45578</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45578</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45578</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45578</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45578</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45578</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45578</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45578</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45578</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45578</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45578</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45578</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45578</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45578</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45578</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45578</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45578</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45578</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45578</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45578</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45578</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45578</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45578</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45578</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45578</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45578</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45578</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45578</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45578</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45578</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45578</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45578</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45578</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45578</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45578</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45578</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45578</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45578</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45578</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45578</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45578</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45578</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45578</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45578</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45578</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45578</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45578</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45578</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45578</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45578</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45578</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45578</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45578</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45578</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45578</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45578</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45578</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45578</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45578</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45578</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45578</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45578</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45578</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45578</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45578</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45578</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45578</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45578</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45578</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45578</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45578</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45578</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45578</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45578</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45578</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45578</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45578</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45578</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45578</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45578</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45578</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45578</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45578</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45578</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45578</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45578</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45578</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45578</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45578</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45578</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45578</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45578</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45578</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45578</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45578</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45578</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45578</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45578</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45578</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45578</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45578</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45578</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45578</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45578</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45578</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45578</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45578</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45578</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45578</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45578</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45578</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45578</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45578</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45578</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45578</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45578</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45578</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45578</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45578</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45578</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45578</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45578</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45578</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45578</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45578</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45578</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45578</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45578</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45578</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45578</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45578</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45578</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45578</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45578</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45578</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45578</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45578</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45578</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45578</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45578</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45578</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45578</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45578</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45578</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45578</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45578</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45578</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45578</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45578</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45578</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45578</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45578</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45578</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45578</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45578</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45578</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45578</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45578</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45578</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45578</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45578</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45578</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45578</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45578</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45578</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45578</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45578</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45578</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45578</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45578</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45578</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45578</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45578</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45578</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45578</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45578</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45578</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45578</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45578</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45578</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45578</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45578</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45578</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45578</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45578</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45578</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45578</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45578</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45578</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45578</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45578</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45578</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45578</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45578</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45578</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45578</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45578</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45578</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45578</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45578</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45578</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45578</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45578</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45578</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45578</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45578</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45578</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45578</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45578</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45578</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45578</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45578</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45578</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45578</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45578</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45578</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45578</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45578</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45578</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45578</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45578</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45578</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45578</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45578</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45578</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45578</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45578</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45578</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45578</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45578</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45578</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45578</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45578</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45578</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45578</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45578</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45578</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45578</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45578</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45578</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45578</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45578</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45578</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45578</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45578</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45578</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45578</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45578</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45578</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45578</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45578</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45578</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45578</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45578</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45578</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45578</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45578</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45578</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45578</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45578</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45578</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45578</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45578</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45578</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45578</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45578</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45578</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45578</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45578</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45578</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45578</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45578</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45578</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45578</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45578</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45578</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45578</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45578</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45578</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45578</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45578</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45578</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45578</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45578</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45578</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45578</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45578</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45578</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45578</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45578</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45578</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45578</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45578</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45578</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45578</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45578</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45578</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45578</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45578</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45578</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45578</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45578</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45578</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45578</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45578</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45578</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45578</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45578</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45578</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45578</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45578</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45578</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45578</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45578</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45578</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45578</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45578</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45578</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45578</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45578</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45578</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45578</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45578</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45578</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45578</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45578</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45578</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45578</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45578</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45578</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45578</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45578</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45578</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45578</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45578</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45578</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45578</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45578</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45578</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45578</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45578</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45578</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45578</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45578</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45578</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45578</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45578</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45578</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45578</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45578</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45578</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45578</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45578</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45578</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45578</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45578</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45578</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45578</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45578</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45578</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45578</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45578</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45578</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45578</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45578</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45578</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45578</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45578</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45578</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45578</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45578</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45578</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45578</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45578</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45578</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45578</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45578</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45578</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45578</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45578</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45578</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45578</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45578</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45578</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45578</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45578</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45578</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45578</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45578</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45578</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45578</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45578</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45578</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45578</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45578</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45578</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45578</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45578</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45578</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45578</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45578</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45578</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45578</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45578</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45578</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45578</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45578</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45578</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45578</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45578</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45578</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45578</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45578</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45578</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45578</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45578</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45578</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45578</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45578</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45578</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45578</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45578</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45578</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45578</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45578</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45578</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45578</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45578</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45578</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45578</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45578</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45578</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45578</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45578</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45578</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45578</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45578</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45578</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45578</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45578</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45578</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45578</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45578</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45578</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45578</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45578</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45578</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45578</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45578</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45578</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45578</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45578</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45578</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45578</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45578</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45578</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45578</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45578</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45578</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45578</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45578</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45578</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45578</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45578</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45578</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45578</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45578</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45578</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45578</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45578</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45578</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45578</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45578</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45578</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45578</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45578</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45578</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45578</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45578</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45578</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45578</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45578</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45578</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45578</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45578</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45578</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45578</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45578</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45578</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45578</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45578</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45578</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45578</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45578</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45578</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45578</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45578</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45578</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45578</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45578</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45578</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45578</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45578</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45578</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45578</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45578</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45578</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45578</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45578</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45578</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45578</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45578</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45578</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45578</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45578</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45578</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45578</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45578</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45578</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45578</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45578</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45578</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45578</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45578</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45578</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45578</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45578</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45578</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45578</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45578</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45578</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45578</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45578</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45578</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45578</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45578</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45578</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45578</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45578</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45578</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45578</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45578</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45578</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45578</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45578</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45578</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45578</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45578</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45578</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45578</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45578</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45578</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45578</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45578</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45578</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45578</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45578</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45578</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45578</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45578</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45578</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45578</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45578</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45578</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45578</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45578</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45578</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45578</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45578</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45578</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45578</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45578</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45578</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45578</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45578</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45578</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45578</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45578</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45578</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45578</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45578</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45578</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45578</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45578</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45578</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45578</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45578</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45578</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45578</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45578</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45578</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45578</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45578</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45578</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45578</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45578</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45578</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45578</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45578</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45578</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45578</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45578</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45578</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45578</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45578</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45578</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45578</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45578</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45578</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45578</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45578</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45578</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45578</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45578</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45578</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45578</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45578</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45578</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45578</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45578</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45578</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45578</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45578</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45578</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45578</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45578</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45578</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45578</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45578</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45578</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45578</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45578</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45578</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45578</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45578</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45578</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45578</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45578</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45578</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45578</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45578</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45578</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45578</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45578</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45578</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45578</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45578</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45578</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45578</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45578</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45578</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45578</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45578</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45578</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45578</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45578</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45578</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45578</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45578</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45578</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45578</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45578</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45578</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45578</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45578</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45578</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45578</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45578</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45578</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45578</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45578</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45578</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45578</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45578</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45578</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45578</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45578</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45578</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45578</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45578</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45578</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45578</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45578</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45578</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45578</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45578</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45578</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45578</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45578</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45578</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45578</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45578</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45578</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45578</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45578</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45578</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45578</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45578</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45578</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45578</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45578</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45578</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45578</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45578</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45578</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45578</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45578</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45578</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45578</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45578</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45578</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45578</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45578</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45578</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45578</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45578</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45578</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45578</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45578</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45578</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45578</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45578</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45578</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45578</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45578</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45578</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45578</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45578</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45578</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45578</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45578</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45578</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45578</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45578</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45578</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45578</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45578</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45578</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45578</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45578</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45578</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45578</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45578</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45578</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45578</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45578</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45578</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45578</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45578</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45578</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45578</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45578</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45578</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45578</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45578</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45578</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45578</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45578</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45578</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45578</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45578</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45578</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45578</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45578</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45578</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45578</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45578</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45578</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45578</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45578</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45578</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45578</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45578</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45578</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45578</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45578</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45578</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45578</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45578</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45578</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45578</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45578</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45578</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45578</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45578</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45578</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45578</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45578</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45578</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45578</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45578</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45578</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45578</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45578</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45578</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45578</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45578</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45578</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45578</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45578</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45578</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45578</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45578</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45578</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45578</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45578</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45578</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45578</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45578</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45578</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45578</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45578</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45578</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45578</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45578</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45578</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45578</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45578</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45578</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45578</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45578</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45578</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45578</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45578</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45578</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45578</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45578</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45578</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45578</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45578</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45578</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45578</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45578</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45578</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45578</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45578</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45578</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45578</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45578</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45578</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45578</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45578</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45578</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45578</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45578</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45578</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45578</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45578</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45578</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45578</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45578</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45578</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45578</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45578</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45578</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45578</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45578</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45578</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45578</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45578</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45578</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45578</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45578</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45578</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45578</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45578</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45578</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45578</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45578</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45578</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45578</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45578</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45578</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45578</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45578</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45578</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45578</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45578</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45578</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45578</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45578</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45578</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45578</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45578</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45578</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45578</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45578</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45578</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45578</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45578</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45578</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45578</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45578</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45578</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45578</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45578</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45578</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45578</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45578</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45578</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45578</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45578</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45578</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45578</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45578</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45578</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45578</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45578</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45578</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45578</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45578</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45578</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45578</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45578</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45578</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45578</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45578</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45578</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45578</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45578</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45578</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45578</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45578</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45578</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45578</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45578</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45578</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45578</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45578</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45578</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45578</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45578</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45578</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45578</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45578</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45578</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45578</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45578</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45578</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45578</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45578</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45578</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45578</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45578</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45578</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45578</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45578</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45578</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45578</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45578</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45578</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45578</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45578</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45578</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45578</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45578</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45578</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45578</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45578</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45578</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45578</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45578</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45578</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45578</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45578</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45578</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45578</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45578</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45578</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45578</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45578</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45578</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45578</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45578</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45578</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45578</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45578</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45578</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45578</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45578</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45578</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45578</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45578</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45578</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45578</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45578</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45578</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45578</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45578</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45578</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45578</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45578</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45578</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45578</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45578</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45578</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45578</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45578</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45578</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45578</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45578</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45578</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45578</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45578</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45578</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45578</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45578</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45578</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45578</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45578</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45578</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45578</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45578</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45578</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45578</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45578</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45578</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45578</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45578</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45578</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45578</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45578</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45578</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45578</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45578</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45578</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45578</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45578</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45578</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45578</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45578</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45578</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45578</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45578</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45578</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45578</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45578</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45578</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45578</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45578</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45578</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45578</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45578</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45578</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45578</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45578</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45578</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45578</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45578</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45578</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45578</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45578</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45578</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45578</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45578</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45578</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45578</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45578</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45578</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45578</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45578</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45578</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45578</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45578</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45578</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45578</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45578</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45578</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45578</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45578</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45578</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45578</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45578</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45578</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45578</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45578</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45578</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45578</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45578</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45578</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45578</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45578</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45578</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45578</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45578</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45578</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45578</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45578</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45578</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45578</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45578</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45578</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45578</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45578</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45578</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45578</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45578</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45578</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45578</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45578</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45578</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45578</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45578</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45578</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45578</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45578</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45578</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45578</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45578</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45578</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45578</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45578</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45578</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45578</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45578</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45578</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45578</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45578</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45578</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45578</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45578</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45578</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45578</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45578</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45578</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45578</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45578</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45578</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45578</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45578</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45578</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45578</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45578</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45578</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45578</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45578</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45578</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45578</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45578</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45578</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45578</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45578</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45578</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45578</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45578</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45578</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45578</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45578</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45578</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45578</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45578</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45578</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45578</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45578</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45578</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45578</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45578</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45578</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45578</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45578</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45578</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45578</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45578</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45578</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45578</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45578</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45578</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45578</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45578</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45578</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45578</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45578</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45578</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45578</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45578</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45578</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45578</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45578</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45578</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45578</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45578</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45578</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45578</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45578</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45578</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45578</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45578</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45578</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45578</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45578</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45578</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45578</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45578</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45578</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45578</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45578</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45578</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45578</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45578</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45578</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45578</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45578</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45578</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45578</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45578</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45578</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45578</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45578</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45578</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45578</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45578</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45578</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45578</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45578</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45578</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45578</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45578</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45578</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45578</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45578</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45578</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45578</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45578</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45578</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45578</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45578</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45578</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45578</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45578</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45578</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45578</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45578</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45578</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45578</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45578</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45578</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45578</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45578</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45578</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45578</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45578</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45578</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45578</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45578</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45578</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45578</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45578</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45578</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45578</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45578</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45578</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45578</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45578</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45578</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45578</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45578</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45578</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45578</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45578</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45578</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45578</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45578</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45578</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45578</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45578</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45578</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45578</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45578</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45578</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45578</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45578</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45578</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45578</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45578</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45578</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45578</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45578</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45578</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45578</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45578</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45578</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45578</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45578</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45578</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45578</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45578</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45578</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45578</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45578</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45578</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45578</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45578</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45578</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45578</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45578</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45578</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45578</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45578</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45578</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45578</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45578</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45578</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45578</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45578</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45578</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45578</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45578</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45578</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45578</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45578</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45578</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45578</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45578</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45578</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45578</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45578</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45578</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45578</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45578</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45578</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45578</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45578</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45578</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45578</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45578</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45578</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45578</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45578</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45578</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45578</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45578</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45578</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45578</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45578</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45578</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45578</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45578</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45578</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45578</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45578</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45578</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45578</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45578</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45578</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45578</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45578</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45578</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45578</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45578</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45578</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45578</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45578</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45578</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45578</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45578</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45578</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45578</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45578</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45578</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45578</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45578</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45578</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45578</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45578</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45578</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45578</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45578</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45578</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45578</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45578</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45578</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45578</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45578</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45578</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45578</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45578</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45578</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45578</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45578</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45578</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45578</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45578</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45578</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45578</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45578</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45578</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45578</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45578</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45578</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45578</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45578</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45578</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45578</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45578</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45578</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45578</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45578</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45578</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45578</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45578</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45578</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45578</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45578</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45578</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45578</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45578</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45578</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45578</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45578</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45578</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45578</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45578</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45578</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45578</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45578</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45578</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45578</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45578</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45578</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45578</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45578</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45578</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45578</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45578</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45578</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45578</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45578</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45578</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45578</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45578</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45578</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45578</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45578</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45578</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45578</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45578</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45578</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45578</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45578</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45578</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45578</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45578</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45578</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45578</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45578</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45578</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45578</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45578</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45578</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45578</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45578</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45578</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45578</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45578</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45578</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45578</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45578</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45578</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45578</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45578</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45578</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45578</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45578</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45578</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45578</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45578</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45578</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45578</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45578</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45578</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45578</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45578</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45578</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45578</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45578</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45578</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45578</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45578</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45578</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45578</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45578</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45578</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45578</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45578</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45578</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45578</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45578</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45578</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45578</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45578</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45578</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45578</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45578</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45578</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45578</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45578</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45578</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45578</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45578</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45578</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45578</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45578</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45578</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45578</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45578</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45578</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45578</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45578</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45578</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45578</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45578</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45578</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45578</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45578</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45578</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45578</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45578</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45578</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45578</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45578</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45578</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45578</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45578</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45578</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45578</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45578</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45578</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45578</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45578</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45578</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45578</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45578</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45578</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45578</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45578</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45578</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45578</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45578</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45578</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45578</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45578</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45578</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45578</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45578</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45578</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45578</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45578</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45578</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45578</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45578</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45578</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45578</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45578</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45578</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45578</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45578</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45578</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45578</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45578</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45578</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45578</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45578</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45578</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45578</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45578</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45578</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45578</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45578</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45578</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45578</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45578</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45578</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45578</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45578</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45578</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45578</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45578</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45578</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45578</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45578</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45578</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45578</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45578</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45578</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45578</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45578</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45578</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45578</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45578</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45578</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45578</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45578</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45578</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45578</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45578</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45578</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45578</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45578</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45578</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45578</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45578</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45578</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45578</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45578</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45578</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45578</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45578</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45578</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45578</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45578</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45578</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45578</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45578</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45578</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45578</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45578</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45578</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45578</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45578</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45578</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45578</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45578</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45578</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45578</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45578</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45578</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45578</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45578</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45578</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45578</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45578</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45578</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45578</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45578</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45578</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45578</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45578</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45578</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45578</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45578</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45578</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45578</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45578</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45578</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45578</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45578</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45578</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45578</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45578</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45578</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45578</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45578</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45578</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45578</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45578</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45578</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45578</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45578</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45578</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45578</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45578</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45578</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45578</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45578</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45578</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45578</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45578</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45578</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45578</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45578</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45578</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45578</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45578</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45578</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45578</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45578</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45578</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45578</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45578</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45578</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45578</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45578</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45578</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45578</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45578</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45578</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45578</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45578</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45578</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45578</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45578</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45578</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45578</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45578</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45578</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45578</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45578</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45578</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45578</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45578</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45578</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45578</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45578</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45578</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45578</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45578</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45578</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45578</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45578</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45578</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45578</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45578</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45578</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45578</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45578</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45578</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45578</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45578</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45578</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45578</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45578</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45578</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45578</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45578</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45578</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45578</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45578</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45578</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45578</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45578</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45578</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45578</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45578</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45578</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45578</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45578</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45578</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45578</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45578</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45578</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45578</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45578</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45578</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45578</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45578</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45578</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45578</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45578</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45578</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45578</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45578</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45578</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45578</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45578</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45578</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45578</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45578</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45578</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45578</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45578</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45578</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45578</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45578</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45578</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45578</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45578</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45578</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45578</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45578</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45578</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45578</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45578</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45578</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45578</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45578</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45578</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45578</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45578</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45578</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45578</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45578</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45578</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45578</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45578</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45578</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45578</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45578</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45578</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45578</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45578</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45578</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45578</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45578</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45578</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45578</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45578</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45578</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45578</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45578</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45578</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45578</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45578</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45578</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45578</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45578</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45578</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45578</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45578</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45578</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45578</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45578</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45578</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45578</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45578</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45578</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45578</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45578</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45578</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45578</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45578</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45578</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45578</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45578</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45578</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45578</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45578</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45578</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45578</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45578</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45578</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45578</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45578</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45578</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45578</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45578</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45578</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45578</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45578</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45578</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45578</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45578</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45578</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45578</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45578</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45578</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45578</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45578</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45578</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45578</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45578</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45578</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45578</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45578</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45578</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45578</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45578</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45578</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45578</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45578</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45578</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45578</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45578</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45578</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45578</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45578</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45578</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45578</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45578</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45578</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45578</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45578</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45578</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45578</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45578</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45578</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45578</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45578</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45578</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45578</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45578</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45578</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45578</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45578</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45578</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45578</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45578</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45578</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45578</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45578</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45578</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45578</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45578</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45578</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45578</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45578</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45578</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45578</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45578</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45578</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45578</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45578</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45578</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45578</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45578</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45578</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45578</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45578</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45578</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45578</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45578</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45578</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45578</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45578</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45578</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45578</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45578</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45578</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45578</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45578</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45578</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45578</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45578</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45578</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45578</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45578</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45578</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45578</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45578</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45578</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45578</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45578</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45578</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45578</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45578</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45578</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45578</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45578</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45578</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45578</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45578</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45578</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45578</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45578</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45578</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45578</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45578</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45578</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45578</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45578</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45578</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45578</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45578</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45578</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45578</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45578</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45578</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45578</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45578</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45578</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45578</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45578</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45578</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45578</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45578</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45578</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45578</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45578</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45578</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45578</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45578</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45578</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45578</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45578</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45578</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45578</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45578</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45578</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45578</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45578</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45578</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45578</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45578</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45578</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45578</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45578</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45578</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45578</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45578</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45578</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45578</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45578</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45578</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45578</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45578</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45578</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45578</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45578</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45578</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45578</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45578</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45578</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45578</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45578</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45578</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45578</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45578</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45578</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45578</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45578</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45578</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45578</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45578</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45578</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45578</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45578</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45578</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45578</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45578</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45578</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45578</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45578</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45578</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45578</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45578</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45578</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45578</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45578</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45578</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45578</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45578</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45578</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45578</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45578</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45578</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45578</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45578</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45578</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45578</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45578</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45578</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45578</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45578</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45578</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45578</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45578</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45578</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45578</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45578</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45578</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45578</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45578</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45578</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45578</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45578</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45578</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45578</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45578</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45578</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45578</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45578</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45578</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45578</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45578</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45578</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45578</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45578</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45578</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45578</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45578</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45578</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45578</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45578</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45578</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45578</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45578</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45578</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45578</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45578</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45578</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45578</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45578</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45578</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45578</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45578</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45578</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45578</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45578</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45578</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45578</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45578</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45578</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45578</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45578</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45578</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45578</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45578</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45578</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45578</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45578</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45578</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45578</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45578</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45578</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45578</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45578</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45578</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45578</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45578</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45578</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45578</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45578</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45578</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45578</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45578</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45578</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45578</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45578</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45578</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45578</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45578</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45578</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45578</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45578</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45578</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45578</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45578</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45578</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45578</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45578</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45578</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45578</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45578</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45578</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45578</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45578</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45578</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45578</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45578</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45578</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45578</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45578</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45578</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45578</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45578</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45578</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45578</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45578</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45578</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45578</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45578</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45578</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45578</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45578</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45578</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45578</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45578</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45578</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45578</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45578</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45578</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45578</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45578</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45578</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45578</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45578</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45578</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45578</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45578</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45578</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45578</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45578</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45578</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45578</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45578</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45578</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45578</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45578</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45578</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45578</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45578</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45578</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45578</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45578</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45578</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45578</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45578</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45578</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45578</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45578</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45578</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45578</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45578</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45578</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45578</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45578</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45578</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45578</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45578</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45578</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45578</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45578</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45578</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45578</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45578</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45578</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45578</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45578</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45578</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45578</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45578</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45578</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45578</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45578</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45578</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45578</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45578</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45578</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45578</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45578</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45578</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45578</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45578</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45578</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45578</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45578</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45578</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45578</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45578</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45578</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45578</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45578</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45578</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45578</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45578</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45578</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45578</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45578</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45578</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45578</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45578</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45578</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45578</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45578</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45578</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45578</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45578</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45578</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45578</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45578</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45578</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45578</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45578</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45578</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45578</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45578</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45578</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45578</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45578</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45578</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45578</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45578</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45578</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45578</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45578</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45578</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45578</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45578</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45578</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45578</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45578</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45578</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45578</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45578</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45578</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45578</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45578</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45578</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45578</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45578</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45578</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45578</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45578</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45578</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45578</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45578</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45578</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45578</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45578</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45578</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45578</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45578</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45578</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45578</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45578</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45578</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45578</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45578</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45578</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45578</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45578</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45578</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45578</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45578</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45578</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45578</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45578</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45578</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45578</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45578</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45578</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45578</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45578</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45578</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45578</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45578</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45578</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45578</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45578</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45578</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45578</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45578</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45578</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45578</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45578</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45578</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45578</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45578</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45578</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45578</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45578</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45578</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45578</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45578</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45578</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45578</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45578</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45578</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45578</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45578</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45578</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45578</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45578</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45578</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45578</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45578</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45578</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45578</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45578</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45578</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45578</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45578</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45578</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45578</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45578</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45578</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45578</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45578</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45578</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45578</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45578</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45578</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45578</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45578</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45578</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45578</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45578</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45578</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45578</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45578</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45578</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45578</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45578</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45578</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45578</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45578</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45578</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45578</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45578</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45578</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45578</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45578</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45578</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45578</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45578</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45578</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45578</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45578</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45578</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45578</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45578</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45578</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45578</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45578</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45578</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45578</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45578</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45578</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45578</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45578</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45578</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45578</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45578</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45578</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45578</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45578</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45578</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45578</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45578</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45578</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45578</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45578</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45578</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45578</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45578</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45578</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45578</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45578</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45578</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45578</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45578</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45578</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45578</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45578</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45578</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45578</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45578</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45578</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45578</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45578</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45578</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45578</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45578</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45578</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45578</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45578</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45578</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45578</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45578</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45578</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45578</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45578</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45578</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45578</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45578</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45578</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45578</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45578</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45578</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45578</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45578</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45578</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45578</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45578</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45578</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45578</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45578</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45578</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45578</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45578</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45578</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45578</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45578</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45578</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45578</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45578</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45578</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45578</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45578</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45578</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45578</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45578</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45578</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45578</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45578</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45578</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45578</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45578</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45578</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45578</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45578</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45578</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45578</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45578</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45578</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45578</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45578</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45578</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45578</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45578</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45578</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45578</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45578</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45578</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45578</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45578</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45578</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45578</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45578</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45578</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45578</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45578</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45578</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45578</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45578</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45578</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45578</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45578</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45578</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45578</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45578</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45578</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45578</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45578</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45578</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45578</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45578</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45578</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45578</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45578</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45578</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45578</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45578</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45578</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45578</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45578</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45578</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45578</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45578</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45578</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45578</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45578</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45578</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45578</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45578</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45578</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45578</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45578</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45578</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45578</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45578</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45578</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45578</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45578</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45578</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45578</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45578</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45578</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45578</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45578</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45578</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45578</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45578</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45578</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45578</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45578</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45578</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45578</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45578</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45578</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45578</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45578</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45578</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45578</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45578</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45578</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45578</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45578</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45578</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45578</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45578</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45578</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45578</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45578</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45578</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45578</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45578</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45578</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45578</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45578</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45578</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45578</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45578</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45578</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45578</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45578</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45578</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45578</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45578</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45578</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45578</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45578</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45578</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45578</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45578</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45578</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45578</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45578</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45578</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45578</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45578</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45578</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45578</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45578</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45578</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45578</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45578</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45578</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45578</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45578</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45578</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45578</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45578</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45578</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45578</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45578</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45578</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45578</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45578</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45578</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45578</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45578</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45578</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45578</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45578</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45578</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45578</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45578</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45578</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45578</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45578</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45578</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45578</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45578</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45578</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45578</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45578</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45578</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45578</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45578</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45578</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45578</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45578</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45578</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45578</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45578</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45578</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45578</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45578</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45578</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45578</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45578</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45578</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45578</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45578</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45578</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45578</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45578</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45578</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45578</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45578</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45578</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45578</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45578</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45578</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45578</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45578</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45578</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45578</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45578</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45578</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45578</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45578</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45578</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45578</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45578</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45578</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45578</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45578</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45578</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45578</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45578</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45578</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45578</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45578</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45578</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45578</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45578</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45578</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45578</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45578</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45578</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45578</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45578</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45578</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45578</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45578</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38578-2024</t>
        </is>
      </c>
      <c r="B12037" s="1" t="n">
        <v>45546</v>
      </c>
      <c r="C12037" s="1" t="n">
        <v>45578</v>
      </c>
      <c r="D12037" t="inlineStr">
        <is>
          <t>GÄVLEBORGS LÄN</t>
        </is>
      </c>
      <c r="E12037" t="inlineStr">
        <is>
          <t>HUDIKSVALL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45578</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45578</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45578</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45578</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45578</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45578</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45578</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45578</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45578</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45578</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38694-2024</t>
        </is>
      </c>
      <c r="B12048" s="1" t="n">
        <v>45547</v>
      </c>
      <c r="C12048" s="1" t="n">
        <v>45578</v>
      </c>
      <c r="D12048" t="inlineStr">
        <is>
          <t>GÄVLEBORGS LÄN</t>
        </is>
      </c>
      <c r="E12048" t="inlineStr">
        <is>
          <t>GÄVLE</t>
        </is>
      </c>
      <c r="F12048" t="inlineStr">
        <is>
          <t>Bergvik skog öst AB</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45578</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38702-2024</t>
        </is>
      </c>
      <c r="B12050" s="1" t="n">
        <v>45547</v>
      </c>
      <c r="C12050" s="1" t="n">
        <v>45578</v>
      </c>
      <c r="D12050" t="inlineStr">
        <is>
          <t>GÄVLEBORGS LÄN</t>
        </is>
      </c>
      <c r="E12050" t="inlineStr">
        <is>
          <t>HUDIKSVALL</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38687-2024</t>
        </is>
      </c>
      <c r="B12051" s="1" t="n">
        <v>45547</v>
      </c>
      <c r="C12051" s="1" t="n">
        <v>45578</v>
      </c>
      <c r="D12051" t="inlineStr">
        <is>
          <t>GÄVLEBORGS LÄN</t>
        </is>
      </c>
      <c r="E12051" t="inlineStr">
        <is>
          <t>HUDIKSVALL</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38701-2024</t>
        </is>
      </c>
      <c r="B12052" s="1" t="n">
        <v>45547</v>
      </c>
      <c r="C12052" s="1" t="n">
        <v>45578</v>
      </c>
      <c r="D12052" t="inlineStr">
        <is>
          <t>GÄVLEBORGS LÄN</t>
        </is>
      </c>
      <c r="E12052" t="inlineStr">
        <is>
          <t>HUDIKSVALL</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38732-2024</t>
        </is>
      </c>
      <c r="B12053" s="1" t="n">
        <v>45547</v>
      </c>
      <c r="C12053" s="1" t="n">
        <v>45578</v>
      </c>
      <c r="D12053" t="inlineStr">
        <is>
          <t>GÄVLEBORGS LÄN</t>
        </is>
      </c>
      <c r="E12053" t="inlineStr">
        <is>
          <t>HUDIKSVALL</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45578</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38673-2024</t>
        </is>
      </c>
      <c r="B12055" s="1" t="n">
        <v>45547</v>
      </c>
      <c r="C12055" s="1" t="n">
        <v>45578</v>
      </c>
      <c r="D12055" t="inlineStr">
        <is>
          <t>GÄVLEBORGS LÄN</t>
        </is>
      </c>
      <c r="E12055" t="inlineStr">
        <is>
          <t>GÄVLE</t>
        </is>
      </c>
      <c r="F12055" t="inlineStr">
        <is>
          <t>Bergvik skog öst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38703-2024</t>
        </is>
      </c>
      <c r="B12056" s="1" t="n">
        <v>45547</v>
      </c>
      <c r="C12056" s="1" t="n">
        <v>45578</v>
      </c>
      <c r="D12056" t="inlineStr">
        <is>
          <t>GÄVLEBORGS LÄN</t>
        </is>
      </c>
      <c r="E12056" t="inlineStr">
        <is>
          <t>HUDIKSVALL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38755-2024</t>
        </is>
      </c>
      <c r="B12057" s="1" t="n">
        <v>45547</v>
      </c>
      <c r="C12057" s="1" t="n">
        <v>45578</v>
      </c>
      <c r="D12057" t="inlineStr">
        <is>
          <t>GÄVLEBORGS LÄN</t>
        </is>
      </c>
      <c r="E12057" t="inlineStr">
        <is>
          <t>HUDIKSVALL</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38799-2024</t>
        </is>
      </c>
      <c r="B12058" s="1" t="n">
        <v>45547</v>
      </c>
      <c r="C12058" s="1" t="n">
        <v>45578</v>
      </c>
      <c r="D12058" t="inlineStr">
        <is>
          <t>GÄVLEBORGS LÄN</t>
        </is>
      </c>
      <c r="E12058" t="inlineStr">
        <is>
          <t>OCKELBO</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38814-2024</t>
        </is>
      </c>
      <c r="B12059" s="1" t="n">
        <v>45547</v>
      </c>
      <c r="C12059" s="1" t="n">
        <v>45578</v>
      </c>
      <c r="D12059" t="inlineStr">
        <is>
          <t>GÄVLEBORGS LÄN</t>
        </is>
      </c>
      <c r="E12059" t="inlineStr">
        <is>
          <t>LJUSDAL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38826-2024</t>
        </is>
      </c>
      <c r="B12060" s="1" t="n">
        <v>45547</v>
      </c>
      <c r="C12060" s="1" t="n">
        <v>45578</v>
      </c>
      <c r="D12060" t="inlineStr">
        <is>
          <t>GÄVLEBORGS LÄN</t>
        </is>
      </c>
      <c r="E12060" t="inlineStr">
        <is>
          <t>HUDIKSVALL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38805-2024</t>
        </is>
      </c>
      <c r="B12061" s="1" t="n">
        <v>45547</v>
      </c>
      <c r="C12061" s="1" t="n">
        <v>45578</v>
      </c>
      <c r="D12061" t="inlineStr">
        <is>
          <t>GÄVLEBORGS LÄN</t>
        </is>
      </c>
      <c r="E12061" t="inlineStr">
        <is>
          <t>LJUSDAL</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38837-2024</t>
        </is>
      </c>
      <c r="B12062" s="1" t="n">
        <v>45547</v>
      </c>
      <c r="C12062" s="1" t="n">
        <v>45578</v>
      </c>
      <c r="D12062" t="inlineStr">
        <is>
          <t>GÄVLEBORGS LÄN</t>
        </is>
      </c>
      <c r="E12062" t="inlineStr">
        <is>
          <t>BOLLNÄS</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38849-2024</t>
        </is>
      </c>
      <c r="B12063" s="1" t="n">
        <v>45547</v>
      </c>
      <c r="C12063" s="1" t="n">
        <v>45578</v>
      </c>
      <c r="D12063" t="inlineStr">
        <is>
          <t>GÄVLEBORGS LÄN</t>
        </is>
      </c>
      <c r="E12063" t="inlineStr">
        <is>
          <t>OCKELBO</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38843-2024</t>
        </is>
      </c>
      <c r="B12064" s="1" t="n">
        <v>45547</v>
      </c>
      <c r="C12064" s="1" t="n">
        <v>45578</v>
      </c>
      <c r="D12064" t="inlineStr">
        <is>
          <t>GÄVLEBORGS LÄN</t>
        </is>
      </c>
      <c r="E12064" t="inlineStr">
        <is>
          <t>OVANÅKER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38870-2024</t>
        </is>
      </c>
      <c r="B12065" s="1" t="n">
        <v>45547</v>
      </c>
      <c r="C12065" s="1" t="n">
        <v>45578</v>
      </c>
      <c r="D12065" t="inlineStr">
        <is>
          <t>GÄVLEBORGS LÄN</t>
        </is>
      </c>
      <c r="E12065" t="inlineStr">
        <is>
          <t>LJUSDAL</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38804-2024</t>
        </is>
      </c>
      <c r="B12066" s="1" t="n">
        <v>45547</v>
      </c>
      <c r="C12066" s="1" t="n">
        <v>45578</v>
      </c>
      <c r="D12066" t="inlineStr">
        <is>
          <t>GÄVLEBORGS LÄN</t>
        </is>
      </c>
      <c r="E12066" t="inlineStr">
        <is>
          <t>LJUSDAL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45578</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38934-2024</t>
        </is>
      </c>
      <c r="B12068" s="1" t="n">
        <v>45548</v>
      </c>
      <c r="C12068" s="1" t="n">
        <v>45578</v>
      </c>
      <c r="D12068" t="inlineStr">
        <is>
          <t>GÄVLEBORGS LÄN</t>
        </is>
      </c>
      <c r="E12068" t="inlineStr">
        <is>
          <t>BOLLNÄS</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38950-2024</t>
        </is>
      </c>
      <c r="B12069" s="1" t="n">
        <v>45548</v>
      </c>
      <c r="C12069" s="1" t="n">
        <v>45578</v>
      </c>
      <c r="D12069" t="inlineStr">
        <is>
          <t>GÄVLEBORGS LÄN</t>
        </is>
      </c>
      <c r="E12069" t="inlineStr">
        <is>
          <t>HUDIKSVALL</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38964-2024</t>
        </is>
      </c>
      <c r="B12070" s="1" t="n">
        <v>45548</v>
      </c>
      <c r="C12070" s="1" t="n">
        <v>45578</v>
      </c>
      <c r="D12070" t="inlineStr">
        <is>
          <t>GÄVLEBORGS LÄN</t>
        </is>
      </c>
      <c r="E12070" t="inlineStr">
        <is>
          <t>GÄVLE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38981-2024</t>
        </is>
      </c>
      <c r="B12071" s="1" t="n">
        <v>45548</v>
      </c>
      <c r="C12071" s="1" t="n">
        <v>45578</v>
      </c>
      <c r="D12071" t="inlineStr">
        <is>
          <t>GÄVLEBORGS LÄN</t>
        </is>
      </c>
      <c r="E12071" t="inlineStr">
        <is>
          <t>HUDIKSVALL</t>
        </is>
      </c>
      <c r="F12071" t="inlineStr">
        <is>
          <t>Holmen skog AB</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39047-2024</t>
        </is>
      </c>
      <c r="B12072" s="1" t="n">
        <v>45548</v>
      </c>
      <c r="C12072" s="1" t="n">
        <v>45578</v>
      </c>
      <c r="D12072" t="inlineStr">
        <is>
          <t>GÄVLEBORGS LÄN</t>
        </is>
      </c>
      <c r="E12072" t="inlineStr">
        <is>
          <t>SANDVIKEN</t>
        </is>
      </c>
      <c r="F12072" t="inlineStr">
        <is>
          <t>Sveaskog</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39051-2024</t>
        </is>
      </c>
      <c r="B12073" s="1" t="n">
        <v>45548</v>
      </c>
      <c r="C12073" s="1" t="n">
        <v>45578</v>
      </c>
      <c r="D12073" t="inlineStr">
        <is>
          <t>GÄVLEBORGS LÄN</t>
        </is>
      </c>
      <c r="E12073" t="inlineStr">
        <is>
          <t>HUDIKSVALL</t>
        </is>
      </c>
      <c r="F12073" t="inlineStr">
        <is>
          <t>Holmen skog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39026-2024</t>
        </is>
      </c>
      <c r="B12074" s="1" t="n">
        <v>45548</v>
      </c>
      <c r="C12074" s="1" t="n">
        <v>45578</v>
      </c>
      <c r="D12074" t="inlineStr">
        <is>
          <t>GÄVLEBORGS LÄN</t>
        </is>
      </c>
      <c r="E12074" t="inlineStr">
        <is>
          <t>HUDIKSVALL</t>
        </is>
      </c>
      <c r="F12074" t="inlineStr">
        <is>
          <t>Naturvårdsverket</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39029-2024</t>
        </is>
      </c>
      <c r="B12075" s="1" t="n">
        <v>45548</v>
      </c>
      <c r="C12075" s="1" t="n">
        <v>45578</v>
      </c>
      <c r="D12075" t="inlineStr">
        <is>
          <t>GÄVLEBORGS LÄN</t>
        </is>
      </c>
      <c r="E12075" t="inlineStr">
        <is>
          <t>LJUSDAL</t>
        </is>
      </c>
      <c r="F12075" t="inlineStr">
        <is>
          <t>Sveaskog</t>
        </is>
      </c>
      <c r="G12075" t="n">
        <v>13.4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39041-2024</t>
        </is>
      </c>
      <c r="B12076" s="1" t="n">
        <v>45548</v>
      </c>
      <c r="C12076" s="1" t="n">
        <v>45578</v>
      </c>
      <c r="D12076" t="inlineStr">
        <is>
          <t>GÄVLEBORGS LÄN</t>
        </is>
      </c>
      <c r="E12076" t="inlineStr">
        <is>
          <t>NORDANSTIG</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39062-2024</t>
        </is>
      </c>
      <c r="B12077" s="1" t="n">
        <v>45548</v>
      </c>
      <c r="C12077" s="1" t="n">
        <v>45578</v>
      </c>
      <c r="D12077" t="inlineStr">
        <is>
          <t>GÄVLEBORGS LÄN</t>
        </is>
      </c>
      <c r="E12077" t="inlineStr">
        <is>
          <t>OCKELBO</t>
        </is>
      </c>
      <c r="F12077" t="inlineStr">
        <is>
          <t>Bergvik skog väst AB</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39083-2024</t>
        </is>
      </c>
      <c r="B12078" s="1" t="n">
        <v>45548</v>
      </c>
      <c r="C12078" s="1" t="n">
        <v>45578</v>
      </c>
      <c r="D12078" t="inlineStr">
        <is>
          <t>GÄVLEBORGS LÄN</t>
        </is>
      </c>
      <c r="E12078" t="inlineStr">
        <is>
          <t>HOFORS</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38979-2024</t>
        </is>
      </c>
      <c r="B12079" s="1" t="n">
        <v>45548</v>
      </c>
      <c r="C12079" s="1" t="n">
        <v>45578</v>
      </c>
      <c r="D12079" t="inlineStr">
        <is>
          <t>GÄVLEBORGS LÄN</t>
        </is>
      </c>
      <c r="E12079" t="inlineStr">
        <is>
          <t>SANDVIKEN</t>
        </is>
      </c>
      <c r="F12079" t="inlineStr">
        <is>
          <t>Sveaskog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39012-2024</t>
        </is>
      </c>
      <c r="B12080" s="1" t="n">
        <v>45548</v>
      </c>
      <c r="C12080" s="1" t="n">
        <v>45578</v>
      </c>
      <c r="D12080" t="inlineStr">
        <is>
          <t>GÄVLEBORGS LÄN</t>
        </is>
      </c>
      <c r="E12080" t="inlineStr">
        <is>
          <t>LJUSDAL</t>
        </is>
      </c>
      <c r="F12080" t="inlineStr">
        <is>
          <t>Sveaskog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39078-2024</t>
        </is>
      </c>
      <c r="B12081" s="1" t="n">
        <v>45548</v>
      </c>
      <c r="C12081" s="1" t="n">
        <v>45578</v>
      </c>
      <c r="D12081" t="inlineStr">
        <is>
          <t>GÄVLEBORGS LÄN</t>
        </is>
      </c>
      <c r="E12081" t="inlineStr">
        <is>
          <t>HUDIKSVALL</t>
        </is>
      </c>
      <c r="F12081" t="inlineStr">
        <is>
          <t>Holmen skog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39091-2024</t>
        </is>
      </c>
      <c r="B12082" s="1" t="n">
        <v>45548</v>
      </c>
      <c r="C12082" s="1" t="n">
        <v>45578</v>
      </c>
      <c r="D12082" t="inlineStr">
        <is>
          <t>GÄVLEBORGS LÄN</t>
        </is>
      </c>
      <c r="E12082" t="inlineStr">
        <is>
          <t>BOLLNÄS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39163-2024</t>
        </is>
      </c>
      <c r="B12083" s="1" t="n">
        <v>45548</v>
      </c>
      <c r="C12083" s="1" t="n">
        <v>45578</v>
      </c>
      <c r="D12083" t="inlineStr">
        <is>
          <t>GÄVLEBORGS LÄN</t>
        </is>
      </c>
      <c r="E12083" t="inlineStr">
        <is>
          <t>OVANÅKER</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39207-2024</t>
        </is>
      </c>
      <c r="B12084" s="1" t="n">
        <v>45548</v>
      </c>
      <c r="C12084" s="1" t="n">
        <v>45578</v>
      </c>
      <c r="D12084" t="inlineStr">
        <is>
          <t>GÄVLEBORGS LÄN</t>
        </is>
      </c>
      <c r="E12084" t="inlineStr">
        <is>
          <t>SÖDERHAMN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39173-2024</t>
        </is>
      </c>
      <c r="B12085" s="1" t="n">
        <v>45548</v>
      </c>
      <c r="C12085" s="1" t="n">
        <v>45578</v>
      </c>
      <c r="D12085" t="inlineStr">
        <is>
          <t>GÄVLEBORGS LÄN</t>
        </is>
      </c>
      <c r="E12085" t="inlineStr">
        <is>
          <t>OVANÅKER</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39189-2024</t>
        </is>
      </c>
      <c r="B12086" s="1" t="n">
        <v>45548</v>
      </c>
      <c r="C12086" s="1" t="n">
        <v>45578</v>
      </c>
      <c r="D12086" t="inlineStr">
        <is>
          <t>GÄVLEBORGS LÄN</t>
        </is>
      </c>
      <c r="E12086" t="inlineStr">
        <is>
          <t>OVANÅKER</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39194-2024</t>
        </is>
      </c>
      <c r="B12087" s="1" t="n">
        <v>45548</v>
      </c>
      <c r="C12087" s="1" t="n">
        <v>45578</v>
      </c>
      <c r="D12087" t="inlineStr">
        <is>
          <t>GÄVLEBORGS LÄN</t>
        </is>
      </c>
      <c r="E12087" t="inlineStr">
        <is>
          <t>OVANÅKER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39183-2024</t>
        </is>
      </c>
      <c r="B12088" s="1" t="n">
        <v>45548</v>
      </c>
      <c r="C12088" s="1" t="n">
        <v>45578</v>
      </c>
      <c r="D12088" t="inlineStr">
        <is>
          <t>GÄVLEBORGS LÄN</t>
        </is>
      </c>
      <c r="E12088" t="inlineStr">
        <is>
          <t>GÄVLE</t>
        </is>
      </c>
      <c r="F12088" t="inlineStr">
        <is>
          <t>Bergvik skog väst AB</t>
        </is>
      </c>
      <c r="G12088" t="n">
        <v>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39196-2024</t>
        </is>
      </c>
      <c r="B12089" s="1" t="n">
        <v>45548</v>
      </c>
      <c r="C12089" s="1" t="n">
        <v>45578</v>
      </c>
      <c r="D12089" t="inlineStr">
        <is>
          <t>GÄVLEBORGS LÄN</t>
        </is>
      </c>
      <c r="E12089" t="inlineStr">
        <is>
          <t>BOLLNÄS</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45578</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39275-2024</t>
        </is>
      </c>
      <c r="B12091" s="1" t="n">
        <v>45551</v>
      </c>
      <c r="C12091" s="1" t="n">
        <v>45578</v>
      </c>
      <c r="D12091" t="inlineStr">
        <is>
          <t>GÄVLEBORGS LÄN</t>
        </is>
      </c>
      <c r="E12091" t="inlineStr">
        <is>
          <t>HUDIKSVALL</t>
        </is>
      </c>
      <c r="F12091" t="inlineStr">
        <is>
          <t>Holmen skog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39340-2024</t>
        </is>
      </c>
      <c r="B12092" s="1" t="n">
        <v>45551</v>
      </c>
      <c r="C12092" s="1" t="n">
        <v>45578</v>
      </c>
      <c r="D12092" t="inlineStr">
        <is>
          <t>GÄVLEBORGS LÄN</t>
        </is>
      </c>
      <c r="E12092" t="inlineStr">
        <is>
          <t>SANDVIKEN</t>
        </is>
      </c>
      <c r="F12092" t="inlineStr">
        <is>
          <t>Sveaskog</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39418-2024</t>
        </is>
      </c>
      <c r="B12093" s="1" t="n">
        <v>45551</v>
      </c>
      <c r="C12093" s="1" t="n">
        <v>45578</v>
      </c>
      <c r="D12093" t="inlineStr">
        <is>
          <t>GÄVLEBORGS LÄN</t>
        </is>
      </c>
      <c r="E12093" t="inlineStr">
        <is>
          <t>LJUSDAL</t>
        </is>
      </c>
      <c r="F12093" t="inlineStr">
        <is>
          <t>Allmännings- och besparingsskogar</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39447-2024</t>
        </is>
      </c>
      <c r="B12094" s="1" t="n">
        <v>45551</v>
      </c>
      <c r="C12094" s="1" t="n">
        <v>45578</v>
      </c>
      <c r="D12094" t="inlineStr">
        <is>
          <t>GÄVLEBORGS LÄN</t>
        </is>
      </c>
      <c r="E12094" t="inlineStr">
        <is>
          <t>OCKELBO</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39460-2024</t>
        </is>
      </c>
      <c r="B12095" s="1" t="n">
        <v>45551</v>
      </c>
      <c r="C12095" s="1" t="n">
        <v>45578</v>
      </c>
      <c r="D12095" t="inlineStr">
        <is>
          <t>GÄVLEBORGS LÄN</t>
        </is>
      </c>
      <c r="E12095" t="inlineStr">
        <is>
          <t>GÄVLE</t>
        </is>
      </c>
      <c r="F12095" t="inlineStr">
        <is>
          <t>Bergvik skog väst AB</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39329-2024</t>
        </is>
      </c>
      <c r="B12096" s="1" t="n">
        <v>45551</v>
      </c>
      <c r="C12096" s="1" t="n">
        <v>45578</v>
      </c>
      <c r="D12096" t="inlineStr">
        <is>
          <t>GÄVLEBORGS LÄN</t>
        </is>
      </c>
      <c r="E12096" t="inlineStr">
        <is>
          <t>OVANÅKER</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39337-2024</t>
        </is>
      </c>
      <c r="B12097" s="1" t="n">
        <v>45551</v>
      </c>
      <c r="C12097" s="1" t="n">
        <v>45578</v>
      </c>
      <c r="D12097" t="inlineStr">
        <is>
          <t>GÄVLEBORGS LÄN</t>
        </is>
      </c>
      <c r="E12097" t="inlineStr">
        <is>
          <t>SANDVIKEN</t>
        </is>
      </c>
      <c r="F12097" t="inlineStr">
        <is>
          <t>Sveaskog</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39249-2024</t>
        </is>
      </c>
      <c r="B12098" s="1" t="n">
        <v>45551</v>
      </c>
      <c r="C12098" s="1" t="n">
        <v>45578</v>
      </c>
      <c r="D12098" t="inlineStr">
        <is>
          <t>GÄVLEBORGS LÄN</t>
        </is>
      </c>
      <c r="E12098" t="inlineStr">
        <is>
          <t>OVANÅKER</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39373-2024</t>
        </is>
      </c>
      <c r="B12099" s="1" t="n">
        <v>45551</v>
      </c>
      <c r="C12099" s="1" t="n">
        <v>45578</v>
      </c>
      <c r="D12099" t="inlineStr">
        <is>
          <t>GÄVLEBORGS LÄN</t>
        </is>
      </c>
      <c r="E12099" t="inlineStr">
        <is>
          <t>OVANÅKER</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39424-2024</t>
        </is>
      </c>
      <c r="B12100" s="1" t="n">
        <v>45551</v>
      </c>
      <c r="C12100" s="1" t="n">
        <v>45578</v>
      </c>
      <c r="D12100" t="inlineStr">
        <is>
          <t>GÄVLEBORGS LÄN</t>
        </is>
      </c>
      <c r="E12100" t="inlineStr">
        <is>
          <t>OCKELBO</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39440-2024</t>
        </is>
      </c>
      <c r="B12101" s="1" t="n">
        <v>45551</v>
      </c>
      <c r="C12101" s="1" t="n">
        <v>45578</v>
      </c>
      <c r="D12101" t="inlineStr">
        <is>
          <t>GÄVLEBORGS LÄN</t>
        </is>
      </c>
      <c r="E12101" t="inlineStr">
        <is>
          <t>HUDIKSVALL</t>
        </is>
      </c>
      <c r="F12101" t="inlineStr">
        <is>
          <t>Holmen skog AB</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39457-2024</t>
        </is>
      </c>
      <c r="B12102" s="1" t="n">
        <v>45551</v>
      </c>
      <c r="C12102" s="1" t="n">
        <v>45578</v>
      </c>
      <c r="D12102" t="inlineStr">
        <is>
          <t>GÄVLEBORGS LÄN</t>
        </is>
      </c>
      <c r="E12102" t="inlineStr">
        <is>
          <t>LJUSDAL</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39473-2024</t>
        </is>
      </c>
      <c r="B12103" s="1" t="n">
        <v>45551</v>
      </c>
      <c r="C12103" s="1" t="n">
        <v>45578</v>
      </c>
      <c r="D12103" t="inlineStr">
        <is>
          <t>GÄVLEBORGS LÄN</t>
        </is>
      </c>
      <c r="E12103" t="inlineStr">
        <is>
          <t>OVANÅKER</t>
        </is>
      </c>
      <c r="F12103" t="inlineStr">
        <is>
          <t>Bergvik skog väst AB</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39539-2024</t>
        </is>
      </c>
      <c r="B12104" s="1" t="n">
        <v>45552</v>
      </c>
      <c r="C12104" s="1" t="n">
        <v>45578</v>
      </c>
      <c r="D12104" t="inlineStr">
        <is>
          <t>GÄVLEBORGS LÄN</t>
        </is>
      </c>
      <c r="E12104" t="inlineStr">
        <is>
          <t>OVANÅKER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39322-2024</t>
        </is>
      </c>
      <c r="B12105" s="1" t="n">
        <v>45551</v>
      </c>
      <c r="C12105" s="1" t="n">
        <v>45578</v>
      </c>
      <c r="D12105" t="inlineStr">
        <is>
          <t>GÄVLEBORGS LÄN</t>
        </is>
      </c>
      <c r="E12105" t="inlineStr">
        <is>
          <t>NORDANSTIG</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39342-2024</t>
        </is>
      </c>
      <c r="B12106" s="1" t="n">
        <v>45551</v>
      </c>
      <c r="C12106" s="1" t="n">
        <v>45578</v>
      </c>
      <c r="D12106" t="inlineStr">
        <is>
          <t>GÄVLEBORGS LÄN</t>
        </is>
      </c>
      <c r="E12106" t="inlineStr">
        <is>
          <t>SANDVIKEN</t>
        </is>
      </c>
      <c r="F12106" t="inlineStr">
        <is>
          <t>Sveaskog</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39346-2024</t>
        </is>
      </c>
      <c r="B12107" s="1" t="n">
        <v>45551</v>
      </c>
      <c r="C12107" s="1" t="n">
        <v>45578</v>
      </c>
      <c r="D12107" t="inlineStr">
        <is>
          <t>GÄVLEBORGS LÄN</t>
        </is>
      </c>
      <c r="E12107" t="inlineStr">
        <is>
          <t>SÖDERHAMN</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39540-2024</t>
        </is>
      </c>
      <c r="B12108" s="1" t="n">
        <v>45552</v>
      </c>
      <c r="C12108" s="1" t="n">
        <v>45578</v>
      </c>
      <c r="D12108" t="inlineStr">
        <is>
          <t>GÄVLEBORGS LÄN</t>
        </is>
      </c>
      <c r="E12108" t="inlineStr">
        <is>
          <t>OVANÅKER</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39417-2024</t>
        </is>
      </c>
      <c r="B12109" s="1" t="n">
        <v>45551</v>
      </c>
      <c r="C12109" s="1" t="n">
        <v>45578</v>
      </c>
      <c r="D12109" t="inlineStr">
        <is>
          <t>GÄVLEBORGS LÄN</t>
        </is>
      </c>
      <c r="E12109" t="inlineStr">
        <is>
          <t>LJUSDAL</t>
        </is>
      </c>
      <c r="G12109" t="n">
        <v>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39430-2024</t>
        </is>
      </c>
      <c r="B12110" s="1" t="n">
        <v>45551</v>
      </c>
      <c r="C12110" s="1" t="n">
        <v>45578</v>
      </c>
      <c r="D12110" t="inlineStr">
        <is>
          <t>GÄVLEBORGS LÄN</t>
        </is>
      </c>
      <c r="E12110" t="inlineStr">
        <is>
          <t>OCKELBO</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39463-2024</t>
        </is>
      </c>
      <c r="B12111" s="1" t="n">
        <v>45551</v>
      </c>
      <c r="C12111" s="1" t="n">
        <v>45578</v>
      </c>
      <c r="D12111" t="inlineStr">
        <is>
          <t>GÄVLEBORGS LÄN</t>
        </is>
      </c>
      <c r="E12111" t="inlineStr">
        <is>
          <t>LJUSDAL</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39541-2024</t>
        </is>
      </c>
      <c r="B12112" s="1" t="n">
        <v>45552</v>
      </c>
      <c r="C12112" s="1" t="n">
        <v>45578</v>
      </c>
      <c r="D12112" t="inlineStr">
        <is>
          <t>GÄVLEBORGS LÄN</t>
        </is>
      </c>
      <c r="E12112" t="inlineStr">
        <is>
          <t>OVANÅKER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39597-2024</t>
        </is>
      </c>
      <c r="B12113" s="1" t="n">
        <v>45552</v>
      </c>
      <c r="C12113" s="1" t="n">
        <v>45578</v>
      </c>
      <c r="D12113" t="inlineStr">
        <is>
          <t>GÄVLEBORGS LÄN</t>
        </is>
      </c>
      <c r="E12113" t="inlineStr">
        <is>
          <t>LJUSDAL</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39657-2024</t>
        </is>
      </c>
      <c r="B12114" s="1" t="n">
        <v>45552</v>
      </c>
      <c r="C12114" s="1" t="n">
        <v>45578</v>
      </c>
      <c r="D12114" t="inlineStr">
        <is>
          <t>GÄVLEBORGS LÄN</t>
        </is>
      </c>
      <c r="E12114" t="inlineStr">
        <is>
          <t>LJUSDAL</t>
        </is>
      </c>
      <c r="F12114" t="inlineStr">
        <is>
          <t>Holmen skog AB</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39591-2024</t>
        </is>
      </c>
      <c r="B12115" s="1" t="n">
        <v>45552</v>
      </c>
      <c r="C12115" s="1" t="n">
        <v>45578</v>
      </c>
      <c r="D12115" t="inlineStr">
        <is>
          <t>GÄVLEBORGS LÄN</t>
        </is>
      </c>
      <c r="E12115" t="inlineStr">
        <is>
          <t>SANDVIKEN</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39729-2024</t>
        </is>
      </c>
      <c r="B12116" s="1" t="n">
        <v>45552</v>
      </c>
      <c r="C12116" s="1" t="n">
        <v>45578</v>
      </c>
      <c r="D12116" t="inlineStr">
        <is>
          <t>GÄVLEBORGS LÄN</t>
        </is>
      </c>
      <c r="E12116" t="inlineStr">
        <is>
          <t>OVANÅKER</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39665-2024</t>
        </is>
      </c>
      <c r="B12117" s="1" t="n">
        <v>45552</v>
      </c>
      <c r="C12117" s="1" t="n">
        <v>45578</v>
      </c>
      <c r="D12117" t="inlineStr">
        <is>
          <t>GÄVLEBORGS LÄN</t>
        </is>
      </c>
      <c r="E12117" t="inlineStr">
        <is>
          <t>LJUSDAL</t>
        </is>
      </c>
      <c r="G12117" t="n">
        <v>4.6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45578</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39928-2024</t>
        </is>
      </c>
      <c r="B12119" s="1" t="n">
        <v>45553</v>
      </c>
      <c r="C12119" s="1" t="n">
        <v>45578</v>
      </c>
      <c r="D12119" t="inlineStr">
        <is>
          <t>GÄVLEBORGS LÄN</t>
        </is>
      </c>
      <c r="E12119" t="inlineStr">
        <is>
          <t>LJUSDAL</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39917-2024</t>
        </is>
      </c>
      <c r="B12120" s="1" t="n">
        <v>45553</v>
      </c>
      <c r="C12120" s="1" t="n">
        <v>45578</v>
      </c>
      <c r="D12120" t="inlineStr">
        <is>
          <t>GÄVLEBORGS LÄN</t>
        </is>
      </c>
      <c r="E12120" t="inlineStr">
        <is>
          <t>LJUSDAL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39927-2024</t>
        </is>
      </c>
      <c r="B12121" s="1" t="n">
        <v>45553</v>
      </c>
      <c r="C12121" s="1" t="n">
        <v>45578</v>
      </c>
      <c r="D12121" t="inlineStr">
        <is>
          <t>GÄVLEBORGS LÄN</t>
        </is>
      </c>
      <c r="E12121" t="inlineStr">
        <is>
          <t>LJUSDAL</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39943-2024</t>
        </is>
      </c>
      <c r="B12122" s="1" t="n">
        <v>45553</v>
      </c>
      <c r="C12122" s="1" t="n">
        <v>45578</v>
      </c>
      <c r="D12122" t="inlineStr">
        <is>
          <t>GÄVLEBORGS LÄN</t>
        </is>
      </c>
      <c r="E12122" t="inlineStr">
        <is>
          <t>NORDANSTIG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39947-2024</t>
        </is>
      </c>
      <c r="B12123" s="1" t="n">
        <v>45553</v>
      </c>
      <c r="C12123" s="1" t="n">
        <v>45578</v>
      </c>
      <c r="D12123" t="inlineStr">
        <is>
          <t>GÄVLEBORGS LÄN</t>
        </is>
      </c>
      <c r="E12123" t="inlineStr">
        <is>
          <t>LJUSDAL</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45578</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45578</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40071-2024</t>
        </is>
      </c>
      <c r="B12126" s="1" t="n">
        <v>45554</v>
      </c>
      <c r="C12126" s="1" t="n">
        <v>45578</v>
      </c>
      <c r="D12126" t="inlineStr">
        <is>
          <t>GÄVLEBORGS LÄN</t>
        </is>
      </c>
      <c r="E12126" t="inlineStr">
        <is>
          <t>GÄVLE</t>
        </is>
      </c>
      <c r="F12126" t="inlineStr">
        <is>
          <t>Bergvik skog öst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40096-2024</t>
        </is>
      </c>
      <c r="B12127" s="1" t="n">
        <v>45554</v>
      </c>
      <c r="C12127" s="1" t="n">
        <v>45578</v>
      </c>
      <c r="D12127" t="inlineStr">
        <is>
          <t>GÄVLEBORGS LÄN</t>
        </is>
      </c>
      <c r="E12127" t="inlineStr">
        <is>
          <t>HUDIKSVALL</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40104-2024</t>
        </is>
      </c>
      <c r="B12128" s="1" t="n">
        <v>45554</v>
      </c>
      <c r="C12128" s="1" t="n">
        <v>45578</v>
      </c>
      <c r="D12128" t="inlineStr">
        <is>
          <t>GÄVLEBORGS LÄN</t>
        </is>
      </c>
      <c r="E12128" t="inlineStr">
        <is>
          <t>NORDANSTIG</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40112-2024</t>
        </is>
      </c>
      <c r="B12129" s="1" t="n">
        <v>45554</v>
      </c>
      <c r="C12129" s="1" t="n">
        <v>45578</v>
      </c>
      <c r="D12129" t="inlineStr">
        <is>
          <t>GÄVLEBORGS LÄN</t>
        </is>
      </c>
      <c r="E12129" t="inlineStr">
        <is>
          <t>OCKELBO</t>
        </is>
      </c>
      <c r="G12129" t="n">
        <v>17.7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40196-2024</t>
        </is>
      </c>
      <c r="B12130" s="1" t="n">
        <v>45554</v>
      </c>
      <c r="C12130" s="1" t="n">
        <v>45578</v>
      </c>
      <c r="D12130" t="inlineStr">
        <is>
          <t>GÄVLEBORGS LÄN</t>
        </is>
      </c>
      <c r="E12130" t="inlineStr">
        <is>
          <t>OCKELBO</t>
        </is>
      </c>
      <c r="F12130" t="inlineStr">
        <is>
          <t>Bergvik skog väst AB</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40078-2024</t>
        </is>
      </c>
      <c r="B12131" s="1" t="n">
        <v>45554</v>
      </c>
      <c r="C12131" s="1" t="n">
        <v>45578</v>
      </c>
      <c r="D12131" t="inlineStr">
        <is>
          <t>GÄVLEBORGS LÄN</t>
        </is>
      </c>
      <c r="E12131" t="inlineStr">
        <is>
          <t>NORDANSTIG</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40259-2024</t>
        </is>
      </c>
      <c r="B12132" s="1" t="n">
        <v>45554</v>
      </c>
      <c r="C12132" s="1" t="n">
        <v>45578</v>
      </c>
      <c r="D12132" t="inlineStr">
        <is>
          <t>GÄVLEBORGS LÄN</t>
        </is>
      </c>
      <c r="E12132" t="inlineStr">
        <is>
          <t>SANDVIKEN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40243-2024</t>
        </is>
      </c>
      <c r="B12133" s="1" t="n">
        <v>45554</v>
      </c>
      <c r="C12133" s="1" t="n">
        <v>45578</v>
      </c>
      <c r="D12133" t="inlineStr">
        <is>
          <t>GÄVLEBORGS LÄN</t>
        </is>
      </c>
      <c r="E12133" t="inlineStr">
        <is>
          <t>OCKELBO</t>
        </is>
      </c>
      <c r="F12133" t="inlineStr">
        <is>
          <t>Bergvik skog väst AB</t>
        </is>
      </c>
      <c r="G12133" t="n">
        <v>14.8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40283-2024</t>
        </is>
      </c>
      <c r="B12134" s="1" t="n">
        <v>45554</v>
      </c>
      <c r="C12134" s="1" t="n">
        <v>45578</v>
      </c>
      <c r="D12134" t="inlineStr">
        <is>
          <t>GÄVLEBORGS LÄN</t>
        </is>
      </c>
      <c r="E12134" t="inlineStr">
        <is>
          <t>OCKELBO</t>
        </is>
      </c>
      <c r="F12134" t="inlineStr">
        <is>
          <t>Bergvik skog väst AB</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40098-2024</t>
        </is>
      </c>
      <c r="B12135" s="1" t="n">
        <v>45554</v>
      </c>
      <c r="C12135" s="1" t="n">
        <v>45578</v>
      </c>
      <c r="D12135" t="inlineStr">
        <is>
          <t>GÄVLEBORGS LÄN</t>
        </is>
      </c>
      <c r="E12135" t="inlineStr">
        <is>
          <t>LJUSDAL</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40102-2024</t>
        </is>
      </c>
      <c r="B12136" s="1" t="n">
        <v>45554</v>
      </c>
      <c r="C12136" s="1" t="n">
        <v>45578</v>
      </c>
      <c r="D12136" t="inlineStr">
        <is>
          <t>GÄVLEBORGS LÄN</t>
        </is>
      </c>
      <c r="E12136" t="inlineStr">
        <is>
          <t>HUDIKSVALL</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40106-2024</t>
        </is>
      </c>
      <c r="B12137" s="1" t="n">
        <v>45554</v>
      </c>
      <c r="C12137" s="1" t="n">
        <v>45578</v>
      </c>
      <c r="D12137" t="inlineStr">
        <is>
          <t>GÄVLEBORGS LÄN</t>
        </is>
      </c>
      <c r="E12137" t="inlineStr">
        <is>
          <t>LJUSDAL</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40245-2024</t>
        </is>
      </c>
      <c r="B12138" s="1" t="n">
        <v>45554</v>
      </c>
      <c r="C12138" s="1" t="n">
        <v>45578</v>
      </c>
      <c r="D12138" t="inlineStr">
        <is>
          <t>GÄVLEBORGS LÄN</t>
        </is>
      </c>
      <c r="E12138" t="inlineStr">
        <is>
          <t>OCKELBO</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40318-2024</t>
        </is>
      </c>
      <c r="B12139" s="1" t="n">
        <v>45554</v>
      </c>
      <c r="C12139" s="1" t="n">
        <v>45578</v>
      </c>
      <c r="D12139" t="inlineStr">
        <is>
          <t>GÄVLEBORGS LÄN</t>
        </is>
      </c>
      <c r="E12139" t="inlineStr">
        <is>
          <t>LJUSDAL</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40073-2024</t>
        </is>
      </c>
      <c r="B12140" s="1" t="n">
        <v>45554</v>
      </c>
      <c r="C12140" s="1" t="n">
        <v>45578</v>
      </c>
      <c r="D12140" t="inlineStr">
        <is>
          <t>GÄVLEBORGS LÄN</t>
        </is>
      </c>
      <c r="E12140" t="inlineStr">
        <is>
          <t>HUDIKSVALL</t>
        </is>
      </c>
      <c r="F12140" t="inlineStr">
        <is>
          <t>Naturvårdsverket</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40097-2024</t>
        </is>
      </c>
      <c r="B12141" s="1" t="n">
        <v>45554</v>
      </c>
      <c r="C12141" s="1" t="n">
        <v>45578</v>
      </c>
      <c r="D12141" t="inlineStr">
        <is>
          <t>GÄVLEBORGS LÄN</t>
        </is>
      </c>
      <c r="E12141" t="inlineStr">
        <is>
          <t>SÖDERHAMN</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40105-2024</t>
        </is>
      </c>
      <c r="B12142" s="1" t="n">
        <v>45554</v>
      </c>
      <c r="C12142" s="1" t="n">
        <v>45578</v>
      </c>
      <c r="D12142" t="inlineStr">
        <is>
          <t>GÄVLEBORGS LÄN</t>
        </is>
      </c>
      <c r="E12142" t="inlineStr">
        <is>
          <t>SANDVIKEN</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40177-2024</t>
        </is>
      </c>
      <c r="B12143" s="1" t="n">
        <v>45554</v>
      </c>
      <c r="C12143" s="1" t="n">
        <v>45578</v>
      </c>
      <c r="D12143" t="inlineStr">
        <is>
          <t>GÄVLEBORGS LÄN</t>
        </is>
      </c>
      <c r="E12143" t="inlineStr">
        <is>
          <t>HUDIKSVALL</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40281-2024</t>
        </is>
      </c>
      <c r="B12144" s="1" t="n">
        <v>45554</v>
      </c>
      <c r="C12144" s="1" t="n">
        <v>45578</v>
      </c>
      <c r="D12144" t="inlineStr">
        <is>
          <t>GÄVLEBORGS LÄN</t>
        </is>
      </c>
      <c r="E12144" t="inlineStr">
        <is>
          <t>OCKELBO</t>
        </is>
      </c>
      <c r="F12144" t="inlineStr">
        <is>
          <t>Bergvik skog väst AB</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40321-2024</t>
        </is>
      </c>
      <c r="B12145" s="1" t="n">
        <v>45554</v>
      </c>
      <c r="C12145" s="1" t="n">
        <v>45578</v>
      </c>
      <c r="D12145" t="inlineStr">
        <is>
          <t>GÄVLEBORGS LÄN</t>
        </is>
      </c>
      <c r="E12145" t="inlineStr">
        <is>
          <t>HUDIKSVALL</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40460-2024</t>
        </is>
      </c>
      <c r="B12146" s="1" t="n">
        <v>45555</v>
      </c>
      <c r="C12146" s="1" t="n">
        <v>45578</v>
      </c>
      <c r="D12146" t="inlineStr">
        <is>
          <t>GÄVLEBORGS LÄN</t>
        </is>
      </c>
      <c r="E12146" t="inlineStr">
        <is>
          <t>SANDVIKEN</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40332-2024</t>
        </is>
      </c>
      <c r="B12147" s="1" t="n">
        <v>45555</v>
      </c>
      <c r="C12147" s="1" t="n">
        <v>45578</v>
      </c>
      <c r="D12147" t="inlineStr">
        <is>
          <t>GÄVLEBORGS LÄN</t>
        </is>
      </c>
      <c r="E12147" t="inlineStr">
        <is>
          <t>HUDIKSVALL</t>
        </is>
      </c>
      <c r="F12147" t="inlineStr">
        <is>
          <t>Naturvårdsverket</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40336-2024</t>
        </is>
      </c>
      <c r="B12148" s="1" t="n">
        <v>45555</v>
      </c>
      <c r="C12148" s="1" t="n">
        <v>45578</v>
      </c>
      <c r="D12148" t="inlineStr">
        <is>
          <t>GÄVLEBORGS LÄN</t>
        </is>
      </c>
      <c r="E12148" t="inlineStr">
        <is>
          <t>BOLLNÄS</t>
        </is>
      </c>
      <c r="F12148" t="inlineStr">
        <is>
          <t>Bergvik skog väst AB</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40476-2024</t>
        </is>
      </c>
      <c r="B12149" s="1" t="n">
        <v>45555</v>
      </c>
      <c r="C12149" s="1" t="n">
        <v>45578</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40480-2024</t>
        </is>
      </c>
      <c r="B12150" s="1" t="n">
        <v>45555</v>
      </c>
      <c r="C12150" s="1" t="n">
        <v>45578</v>
      </c>
      <c r="D12150" t="inlineStr">
        <is>
          <t>GÄVLEBORGS LÄN</t>
        </is>
      </c>
      <c r="E12150" t="inlineStr">
        <is>
          <t>NORDANSTIG</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40520-2024</t>
        </is>
      </c>
      <c r="B12151" s="1" t="n">
        <v>45555</v>
      </c>
      <c r="C12151" s="1" t="n">
        <v>45578</v>
      </c>
      <c r="D12151" t="inlineStr">
        <is>
          <t>GÄVLEBORGS LÄN</t>
        </is>
      </c>
      <c r="E12151" t="inlineStr">
        <is>
          <t>BOLLNÄS</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40386-2024</t>
        </is>
      </c>
      <c r="B12152" s="1" t="n">
        <v>45555</v>
      </c>
      <c r="C12152" s="1" t="n">
        <v>45578</v>
      </c>
      <c r="D12152" t="inlineStr">
        <is>
          <t>GÄVLEBORGS LÄN</t>
        </is>
      </c>
      <c r="E12152" t="inlineStr">
        <is>
          <t>BOLLNÄS</t>
        </is>
      </c>
      <c r="F12152" t="inlineStr">
        <is>
          <t>Bergvik skog väst AB</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40453-2024</t>
        </is>
      </c>
      <c r="B12153" s="1" t="n">
        <v>45555</v>
      </c>
      <c r="C12153" s="1" t="n">
        <v>45578</v>
      </c>
      <c r="D12153" t="inlineStr">
        <is>
          <t>GÄVLEBORGS LÄN</t>
        </is>
      </c>
      <c r="E12153" t="inlineStr">
        <is>
          <t>BOLLNÄS</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40477-2024</t>
        </is>
      </c>
      <c r="B12154" s="1" t="n">
        <v>45555</v>
      </c>
      <c r="C12154" s="1" t="n">
        <v>45578</v>
      </c>
      <c r="D12154" t="inlineStr">
        <is>
          <t>GÄVLEBORGS LÄN</t>
        </is>
      </c>
      <c r="E12154" t="inlineStr">
        <is>
          <t>NORDANSTIG</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40481-2024</t>
        </is>
      </c>
      <c r="B12155" s="1" t="n">
        <v>45555</v>
      </c>
      <c r="C12155" s="1" t="n">
        <v>45578</v>
      </c>
      <c r="D12155" t="inlineStr">
        <is>
          <t>GÄVLEBORGS LÄN</t>
        </is>
      </c>
      <c r="E12155" t="inlineStr">
        <is>
          <t>BOLLNÄS</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40364-2024</t>
        </is>
      </c>
      <c r="B12156" s="1" t="n">
        <v>45555</v>
      </c>
      <c r="C12156" s="1" t="n">
        <v>45578</v>
      </c>
      <c r="D12156" t="inlineStr">
        <is>
          <t>GÄVLEBORGS LÄN</t>
        </is>
      </c>
      <c r="E12156" t="inlineStr">
        <is>
          <t>HUDIKSVALL</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40474-2024</t>
        </is>
      </c>
      <c r="B12157" s="1" t="n">
        <v>45555</v>
      </c>
      <c r="C12157" s="1" t="n">
        <v>45578</v>
      </c>
      <c r="D12157" t="inlineStr">
        <is>
          <t>GÄVLEBORGS LÄN</t>
        </is>
      </c>
      <c r="E12157" t="inlineStr">
        <is>
          <t>OVANÅKER</t>
        </is>
      </c>
      <c r="G12157" t="n">
        <v>8.1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40486-2024</t>
        </is>
      </c>
      <c r="B12158" s="1" t="n">
        <v>45555</v>
      </c>
      <c r="C12158" s="1" t="n">
        <v>45578</v>
      </c>
      <c r="D12158" t="inlineStr">
        <is>
          <t>GÄVLEBORGS LÄN</t>
        </is>
      </c>
      <c r="E12158" t="inlineStr">
        <is>
          <t>BOLLNÄS</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40498-2024</t>
        </is>
      </c>
      <c r="B12159" s="1" t="n">
        <v>45555</v>
      </c>
      <c r="C12159" s="1" t="n">
        <v>45578</v>
      </c>
      <c r="D12159" t="inlineStr">
        <is>
          <t>GÄVLEBORGS LÄN</t>
        </is>
      </c>
      <c r="E12159" t="inlineStr">
        <is>
          <t>NORDANSTIG</t>
        </is>
      </c>
      <c r="G12159" t="n">
        <v>12.5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40402-2024</t>
        </is>
      </c>
      <c r="B12160" s="1" t="n">
        <v>45555</v>
      </c>
      <c r="C12160" s="1" t="n">
        <v>45578</v>
      </c>
      <c r="D12160" t="inlineStr">
        <is>
          <t>GÄVLEBORGS LÄN</t>
        </is>
      </c>
      <c r="E12160" t="inlineStr">
        <is>
          <t>GÄVLE</t>
        </is>
      </c>
      <c r="F12160" t="inlineStr">
        <is>
          <t>Kyrkan</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40459-2024</t>
        </is>
      </c>
      <c r="B12161" s="1" t="n">
        <v>45555</v>
      </c>
      <c r="C12161" s="1" t="n">
        <v>45578</v>
      </c>
      <c r="D12161" t="inlineStr">
        <is>
          <t>GÄVLEBORGS LÄN</t>
        </is>
      </c>
      <c r="E12161" t="inlineStr">
        <is>
          <t>BOLLNÄS</t>
        </is>
      </c>
      <c r="F12161" t="inlineStr">
        <is>
          <t>Bergvik skog väst AB</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40479-2024</t>
        </is>
      </c>
      <c r="B12162" s="1" t="n">
        <v>45555</v>
      </c>
      <c r="C12162" s="1" t="n">
        <v>45578</v>
      </c>
      <c r="D12162" t="inlineStr">
        <is>
          <t>GÄVLEBORGS LÄN</t>
        </is>
      </c>
      <c r="E12162" t="inlineStr">
        <is>
          <t>OVANÅKER</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40487-2024</t>
        </is>
      </c>
      <c r="B12163" s="1" t="n">
        <v>45555</v>
      </c>
      <c r="C12163" s="1" t="n">
        <v>45578</v>
      </c>
      <c r="D12163" t="inlineStr">
        <is>
          <t>GÄVLEBORGS LÄN</t>
        </is>
      </c>
      <c r="E12163" t="inlineStr">
        <is>
          <t>BOLLNÄS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40507-2024</t>
        </is>
      </c>
      <c r="B12164" s="1" t="n">
        <v>45555</v>
      </c>
      <c r="C12164" s="1" t="n">
        <v>45578</v>
      </c>
      <c r="D12164" t="inlineStr">
        <is>
          <t>GÄVLEBORGS LÄN</t>
        </is>
      </c>
      <c r="E12164" t="inlineStr">
        <is>
          <t>GÄVLE</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40515-2024</t>
        </is>
      </c>
      <c r="B12165" s="1" t="n">
        <v>45555</v>
      </c>
      <c r="C12165" s="1" t="n">
        <v>45578</v>
      </c>
      <c r="D12165" t="inlineStr">
        <is>
          <t>GÄVLEBORGS LÄN</t>
        </is>
      </c>
      <c r="E12165" t="inlineStr">
        <is>
          <t>GÄVLE</t>
        </is>
      </c>
      <c r="F12165" t="inlineStr">
        <is>
          <t>Bergvik skog öst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40637-2024</t>
        </is>
      </c>
      <c r="B12166" s="1" t="n">
        <v>45558</v>
      </c>
      <c r="C12166" s="1" t="n">
        <v>45578</v>
      </c>
      <c r="D12166" t="inlineStr">
        <is>
          <t>GÄVLEBORGS LÄN</t>
        </is>
      </c>
      <c r="E12166" t="inlineStr">
        <is>
          <t>NORDANSTIG</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40641-2024</t>
        </is>
      </c>
      <c r="B12167" s="1" t="n">
        <v>45558</v>
      </c>
      <c r="C12167" s="1" t="n">
        <v>45578</v>
      </c>
      <c r="D12167" t="inlineStr">
        <is>
          <t>GÄVLEBORGS LÄN</t>
        </is>
      </c>
      <c r="E12167" t="inlineStr">
        <is>
          <t>NORDANSTIG</t>
        </is>
      </c>
      <c r="F12167" t="inlineStr">
        <is>
          <t>Holmen skog AB</t>
        </is>
      </c>
      <c r="G12167" t="n">
        <v>15.7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40723-2024</t>
        </is>
      </c>
      <c r="B12168" s="1" t="n">
        <v>45558</v>
      </c>
      <c r="C12168" s="1" t="n">
        <v>45578</v>
      </c>
      <c r="D12168" t="inlineStr">
        <is>
          <t>GÄVLEBORGS LÄN</t>
        </is>
      </c>
      <c r="E12168" t="inlineStr">
        <is>
          <t>HUDIKSVALL</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40745-2024</t>
        </is>
      </c>
      <c r="B12169" s="1" t="n">
        <v>45558</v>
      </c>
      <c r="C12169" s="1" t="n">
        <v>45578</v>
      </c>
      <c r="D12169" t="inlineStr">
        <is>
          <t>GÄVLEBORGS LÄN</t>
        </is>
      </c>
      <c r="E12169" t="inlineStr">
        <is>
          <t>SANDVIKEN</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40793-2024</t>
        </is>
      </c>
      <c r="B12170" s="1" t="n">
        <v>45558</v>
      </c>
      <c r="C12170" s="1" t="n">
        <v>45578</v>
      </c>
      <c r="D12170" t="inlineStr">
        <is>
          <t>GÄVLEBORGS LÄN</t>
        </is>
      </c>
      <c r="E12170" t="inlineStr">
        <is>
          <t>SÖDERHAMN</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40863-2024</t>
        </is>
      </c>
      <c r="B12171" s="1" t="n">
        <v>45558</v>
      </c>
      <c r="C12171" s="1" t="n">
        <v>45578</v>
      </c>
      <c r="D12171" t="inlineStr">
        <is>
          <t>GÄVLEBORGS LÄN</t>
        </is>
      </c>
      <c r="E12171" t="inlineStr">
        <is>
          <t>HOFORS</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40907-2024</t>
        </is>
      </c>
      <c r="B12172" s="1" t="n">
        <v>45558</v>
      </c>
      <c r="C12172" s="1" t="n">
        <v>45578</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40928-2024</t>
        </is>
      </c>
      <c r="B12173" s="1" t="n">
        <v>45558</v>
      </c>
      <c r="C12173" s="1" t="n">
        <v>45578</v>
      </c>
      <c r="D12173" t="inlineStr">
        <is>
          <t>GÄVLEBORGS LÄN</t>
        </is>
      </c>
      <c r="E12173" t="inlineStr">
        <is>
          <t>BOLLNÄS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40794-2024</t>
        </is>
      </c>
      <c r="B12174" s="1" t="n">
        <v>45558</v>
      </c>
      <c r="C12174" s="1" t="n">
        <v>45578</v>
      </c>
      <c r="D12174" t="inlineStr">
        <is>
          <t>GÄVLEBORGS LÄN</t>
        </is>
      </c>
      <c r="E12174" t="inlineStr">
        <is>
          <t>OCKELBO</t>
        </is>
      </c>
      <c r="G12174" t="n">
        <v>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40945-2024</t>
        </is>
      </c>
      <c r="B12175" s="1" t="n">
        <v>45558</v>
      </c>
      <c r="C12175" s="1" t="n">
        <v>45578</v>
      </c>
      <c r="D12175" t="inlineStr">
        <is>
          <t>GÄVLEBORGS LÄN</t>
        </is>
      </c>
      <c r="E12175" t="inlineStr">
        <is>
          <t>OVANÅKER</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40953-2024</t>
        </is>
      </c>
      <c r="B12176" s="1" t="n">
        <v>45558</v>
      </c>
      <c r="C12176" s="1" t="n">
        <v>45578</v>
      </c>
      <c r="D12176" t="inlineStr">
        <is>
          <t>GÄVLEBORGS LÄN</t>
        </is>
      </c>
      <c r="E12176" t="inlineStr">
        <is>
          <t>OVANÅKER</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40861-2024</t>
        </is>
      </c>
      <c r="B12177" s="1" t="n">
        <v>45558</v>
      </c>
      <c r="C12177" s="1" t="n">
        <v>45578</v>
      </c>
      <c r="D12177" t="inlineStr">
        <is>
          <t>GÄVLEBORGS LÄN</t>
        </is>
      </c>
      <c r="E12177" t="inlineStr">
        <is>
          <t>HOFORS</t>
        </is>
      </c>
      <c r="F12177" t="inlineStr">
        <is>
          <t>Sveaskog</t>
        </is>
      </c>
      <c r="G12177" t="n">
        <v>19.5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40886-2024</t>
        </is>
      </c>
      <c r="B12178" s="1" t="n">
        <v>45558</v>
      </c>
      <c r="C12178" s="1" t="n">
        <v>45578</v>
      </c>
      <c r="D12178" t="inlineStr">
        <is>
          <t>GÄVLEBORGS LÄN</t>
        </is>
      </c>
      <c r="E12178" t="inlineStr">
        <is>
          <t>OVANÅKER</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40942-2024</t>
        </is>
      </c>
      <c r="B12179" s="1" t="n">
        <v>45558</v>
      </c>
      <c r="C12179" s="1" t="n">
        <v>45578</v>
      </c>
      <c r="D12179" t="inlineStr">
        <is>
          <t>GÄVLEBORGS LÄN</t>
        </is>
      </c>
      <c r="E12179" t="inlineStr">
        <is>
          <t>OVANÅKER</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40946-2024</t>
        </is>
      </c>
      <c r="B12180" s="1" t="n">
        <v>45558</v>
      </c>
      <c r="C12180" s="1" t="n">
        <v>45578</v>
      </c>
      <c r="D12180" t="inlineStr">
        <is>
          <t>GÄVLEBORGS LÄN</t>
        </is>
      </c>
      <c r="E12180" t="inlineStr">
        <is>
          <t>BOLLNÄS</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40979-2024</t>
        </is>
      </c>
      <c r="B12181" s="1" t="n">
        <v>45558</v>
      </c>
      <c r="C12181" s="1" t="n">
        <v>45578</v>
      </c>
      <c r="D12181" t="inlineStr">
        <is>
          <t>GÄVLEBORGS LÄN</t>
        </is>
      </c>
      <c r="E12181" t="inlineStr">
        <is>
          <t>LJUSDAL</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41191-2024</t>
        </is>
      </c>
      <c r="B12182" s="1" t="n">
        <v>45559</v>
      </c>
      <c r="C12182" s="1" t="n">
        <v>45578</v>
      </c>
      <c r="D12182" t="inlineStr">
        <is>
          <t>GÄVLEBORGS LÄN</t>
        </is>
      </c>
      <c r="E12182" t="inlineStr">
        <is>
          <t>HUDIKSVALL</t>
        </is>
      </c>
      <c r="F12182" t="inlineStr">
        <is>
          <t>Holmen skog AB</t>
        </is>
      </c>
      <c r="G12182" t="n">
        <v>15.7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41207-2024</t>
        </is>
      </c>
      <c r="B12183" s="1" t="n">
        <v>45559</v>
      </c>
      <c r="C12183" s="1" t="n">
        <v>45578</v>
      </c>
      <c r="D12183" t="inlineStr">
        <is>
          <t>GÄVLEBORGS LÄN</t>
        </is>
      </c>
      <c r="E12183" t="inlineStr">
        <is>
          <t>NORDANSTIG</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41074-2024</t>
        </is>
      </c>
      <c r="B12184" s="1" t="n">
        <v>45559</v>
      </c>
      <c r="C12184" s="1" t="n">
        <v>45578</v>
      </c>
      <c r="D12184" t="inlineStr">
        <is>
          <t>GÄVLEBORGS LÄN</t>
        </is>
      </c>
      <c r="E12184" t="inlineStr">
        <is>
          <t>OCKELBO</t>
        </is>
      </c>
      <c r="F12184" t="inlineStr">
        <is>
          <t>Bergvik skog väst AB</t>
        </is>
      </c>
      <c r="G12184" t="n">
        <v>11.2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41094-2024</t>
        </is>
      </c>
      <c r="B12185" s="1" t="n">
        <v>45559</v>
      </c>
      <c r="C12185" s="1" t="n">
        <v>45578</v>
      </c>
      <c r="D12185" t="inlineStr">
        <is>
          <t>GÄVLEBORGS LÄN</t>
        </is>
      </c>
      <c r="E12185" t="inlineStr">
        <is>
          <t>LJUSDAL</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41098-2024</t>
        </is>
      </c>
      <c r="B12186" s="1" t="n">
        <v>45559</v>
      </c>
      <c r="C12186" s="1" t="n">
        <v>45578</v>
      </c>
      <c r="D12186" t="inlineStr">
        <is>
          <t>GÄVLEBORGS LÄN</t>
        </is>
      </c>
      <c r="E12186" t="inlineStr">
        <is>
          <t>GÄVLE</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41163-2024</t>
        </is>
      </c>
      <c r="B12187" s="1" t="n">
        <v>45559</v>
      </c>
      <c r="C12187" s="1" t="n">
        <v>45578</v>
      </c>
      <c r="D12187" t="inlineStr">
        <is>
          <t>GÄVLEBORGS LÄN</t>
        </is>
      </c>
      <c r="E12187" t="inlineStr">
        <is>
          <t>LJUSDAL</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41167-2024</t>
        </is>
      </c>
      <c r="B12188" s="1" t="n">
        <v>45559</v>
      </c>
      <c r="C12188" s="1" t="n">
        <v>45578</v>
      </c>
      <c r="D12188" t="inlineStr">
        <is>
          <t>GÄVLEBORGS LÄN</t>
        </is>
      </c>
      <c r="E12188" t="inlineStr">
        <is>
          <t>LJUSDAL</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41197-2024</t>
        </is>
      </c>
      <c r="B12189" s="1" t="n">
        <v>45559</v>
      </c>
      <c r="C12189" s="1" t="n">
        <v>45578</v>
      </c>
      <c r="D12189" t="inlineStr">
        <is>
          <t>GÄVLEBORGS LÄN</t>
        </is>
      </c>
      <c r="E12189" t="inlineStr">
        <is>
          <t>SÖDERHAMN</t>
        </is>
      </c>
      <c r="G12189" t="n">
        <v>9.1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41254-2024</t>
        </is>
      </c>
      <c r="B12190" s="1" t="n">
        <v>45559</v>
      </c>
      <c r="C12190" s="1" t="n">
        <v>45578</v>
      </c>
      <c r="D12190" t="inlineStr">
        <is>
          <t>GÄVLEBORGS LÄN</t>
        </is>
      </c>
      <c r="E12190" t="inlineStr">
        <is>
          <t>HUDIKSVALL</t>
        </is>
      </c>
      <c r="F12190" t="inlineStr">
        <is>
          <t>Holmen skog AB</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41258-2024</t>
        </is>
      </c>
      <c r="B12191" s="1" t="n">
        <v>45559</v>
      </c>
      <c r="C12191" s="1" t="n">
        <v>45578</v>
      </c>
      <c r="D12191" t="inlineStr">
        <is>
          <t>GÄVLEBORGS LÄN</t>
        </is>
      </c>
      <c r="E12191" t="inlineStr">
        <is>
          <t>HUDIKSVALL</t>
        </is>
      </c>
      <c r="F12191" t="inlineStr">
        <is>
          <t>Holmen skog AB</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41318-2024</t>
        </is>
      </c>
      <c r="B12192" s="1" t="n">
        <v>45559</v>
      </c>
      <c r="C12192" s="1" t="n">
        <v>45578</v>
      </c>
      <c r="D12192" t="inlineStr">
        <is>
          <t>GÄVLEBORGS LÄN</t>
        </is>
      </c>
      <c r="E12192" t="inlineStr">
        <is>
          <t>NORDANSTIG</t>
        </is>
      </c>
      <c r="F12192" t="inlineStr">
        <is>
          <t>Holmen skog AB</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41168-2024</t>
        </is>
      </c>
      <c r="B12193" s="1" t="n">
        <v>45559</v>
      </c>
      <c r="C12193" s="1" t="n">
        <v>45578</v>
      </c>
      <c r="D12193" t="inlineStr">
        <is>
          <t>GÄVLEBORGS LÄN</t>
        </is>
      </c>
      <c r="E12193" t="inlineStr">
        <is>
          <t>HUDIKSVALL</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41194-2024</t>
        </is>
      </c>
      <c r="B12194" s="1" t="n">
        <v>45559</v>
      </c>
      <c r="C12194" s="1" t="n">
        <v>45578</v>
      </c>
      <c r="D12194" t="inlineStr">
        <is>
          <t>GÄVLEBORGS LÄN</t>
        </is>
      </c>
      <c r="E12194" t="inlineStr">
        <is>
          <t>LJUSDAL</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41230-2024</t>
        </is>
      </c>
      <c r="B12195" s="1" t="n">
        <v>45559</v>
      </c>
      <c r="C12195" s="1" t="n">
        <v>45578</v>
      </c>
      <c r="D12195" t="inlineStr">
        <is>
          <t>GÄVLEBORGS LÄN</t>
        </is>
      </c>
      <c r="E12195" t="inlineStr">
        <is>
          <t>HUDIKSVALL</t>
        </is>
      </c>
      <c r="F12195" t="inlineStr">
        <is>
          <t>Holmen skog AB</t>
        </is>
      </c>
      <c r="G12195" t="n">
        <v>5.9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41100-2024</t>
        </is>
      </c>
      <c r="B12196" s="1" t="n">
        <v>45559</v>
      </c>
      <c r="C12196" s="1" t="n">
        <v>45578</v>
      </c>
      <c r="D12196" t="inlineStr">
        <is>
          <t>GÄVLEBORGS LÄN</t>
        </is>
      </c>
      <c r="E12196" t="inlineStr">
        <is>
          <t>GÄVLE</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41117-2024</t>
        </is>
      </c>
      <c r="B12197" s="1" t="n">
        <v>45559</v>
      </c>
      <c r="C12197" s="1" t="n">
        <v>45578</v>
      </c>
      <c r="D12197" t="inlineStr">
        <is>
          <t>GÄVLEBORGS LÄN</t>
        </is>
      </c>
      <c r="E12197" t="inlineStr">
        <is>
          <t>GÄVLE</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41171-2024</t>
        </is>
      </c>
      <c r="B12198" s="1" t="n">
        <v>45559</v>
      </c>
      <c r="C12198" s="1" t="n">
        <v>45578</v>
      </c>
      <c r="D12198" t="inlineStr">
        <is>
          <t>GÄVLEBORGS LÄN</t>
        </is>
      </c>
      <c r="E12198" t="inlineStr">
        <is>
          <t>GÄVLE</t>
        </is>
      </c>
      <c r="F12198" t="inlineStr">
        <is>
          <t>Bergvik skog öst AB</t>
        </is>
      </c>
      <c r="G12198" t="n">
        <v>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41179-2024</t>
        </is>
      </c>
      <c r="B12199" s="1" t="n">
        <v>45559</v>
      </c>
      <c r="C12199" s="1" t="n">
        <v>45578</v>
      </c>
      <c r="D12199" t="inlineStr">
        <is>
          <t>GÄVLEBORGS LÄN</t>
        </is>
      </c>
      <c r="E12199" t="inlineStr">
        <is>
          <t>SANDVIKEN</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41183-2024</t>
        </is>
      </c>
      <c r="B12200" s="1" t="n">
        <v>45559</v>
      </c>
      <c r="C12200" s="1" t="n">
        <v>45578</v>
      </c>
      <c r="D12200" t="inlineStr">
        <is>
          <t>GÄVLEBORGS LÄN</t>
        </is>
      </c>
      <c r="E12200" t="inlineStr">
        <is>
          <t>SANDVIKEN</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41208-2024</t>
        </is>
      </c>
      <c r="B12201" s="1" t="n">
        <v>45559</v>
      </c>
      <c r="C12201" s="1" t="n">
        <v>45578</v>
      </c>
      <c r="D12201" t="inlineStr">
        <is>
          <t>GÄVLEBORGS LÄN</t>
        </is>
      </c>
      <c r="E12201" t="inlineStr">
        <is>
          <t>NORDANSTIG</t>
        </is>
      </c>
      <c r="G12201" t="n">
        <v>23.3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41249-2024</t>
        </is>
      </c>
      <c r="B12202" s="1" t="n">
        <v>45559</v>
      </c>
      <c r="C12202" s="1" t="n">
        <v>45578</v>
      </c>
      <c r="D12202" t="inlineStr">
        <is>
          <t>GÄVLEBORGS LÄN</t>
        </is>
      </c>
      <c r="E12202" t="inlineStr">
        <is>
          <t>HUDIKSVALL</t>
        </is>
      </c>
      <c r="F12202" t="inlineStr">
        <is>
          <t>Holmen skog AB</t>
        </is>
      </c>
      <c r="G12202" t="n">
        <v>16.3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41357-2024</t>
        </is>
      </c>
      <c r="B12203" s="1" t="n">
        <v>45559</v>
      </c>
      <c r="C12203" s="1" t="n">
        <v>45578</v>
      </c>
      <c r="D12203" t="inlineStr">
        <is>
          <t>GÄVLEBORGS LÄN</t>
        </is>
      </c>
      <c r="E12203" t="inlineStr">
        <is>
          <t>SANDVIKEN</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41383-2024</t>
        </is>
      </c>
      <c r="B12204" s="1" t="n">
        <v>45560</v>
      </c>
      <c r="C12204" s="1" t="n">
        <v>45578</v>
      </c>
      <c r="D12204" t="inlineStr">
        <is>
          <t>GÄVLEBORGS LÄN</t>
        </is>
      </c>
      <c r="E12204" t="inlineStr">
        <is>
          <t>SANDVIKEN</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41521-2024</t>
        </is>
      </c>
      <c r="B12205" s="1" t="n">
        <v>45560</v>
      </c>
      <c r="C12205" s="1" t="n">
        <v>45578</v>
      </c>
      <c r="D12205" t="inlineStr">
        <is>
          <t>GÄVLEBORGS LÄN</t>
        </is>
      </c>
      <c r="E12205" t="inlineStr">
        <is>
          <t>HUDIKSVALL</t>
        </is>
      </c>
      <c r="F12205" t="inlineStr">
        <is>
          <t>Holmen skog AB</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41525-2024</t>
        </is>
      </c>
      <c r="B12206" s="1" t="n">
        <v>45560</v>
      </c>
      <c r="C12206" s="1" t="n">
        <v>45578</v>
      </c>
      <c r="D12206" t="inlineStr">
        <is>
          <t>GÄVLEBORGS LÄN</t>
        </is>
      </c>
      <c r="E12206" t="inlineStr">
        <is>
          <t>GÄVLE</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41546-2024</t>
        </is>
      </c>
      <c r="B12207" s="1" t="n">
        <v>45560</v>
      </c>
      <c r="C12207" s="1" t="n">
        <v>45578</v>
      </c>
      <c r="D12207" t="inlineStr">
        <is>
          <t>GÄVLEBORGS LÄN</t>
        </is>
      </c>
      <c r="E12207" t="inlineStr">
        <is>
          <t>OVANÅKER</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41555-2024</t>
        </is>
      </c>
      <c r="B12208" s="1" t="n">
        <v>45560</v>
      </c>
      <c r="C12208" s="1" t="n">
        <v>45578</v>
      </c>
      <c r="D12208" t="inlineStr">
        <is>
          <t>GÄVLEBORGS LÄN</t>
        </is>
      </c>
      <c r="E12208" t="inlineStr">
        <is>
          <t>HUDIKSVALL</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41559-2024</t>
        </is>
      </c>
      <c r="B12209" s="1" t="n">
        <v>45560</v>
      </c>
      <c r="C12209" s="1" t="n">
        <v>45578</v>
      </c>
      <c r="D12209" t="inlineStr">
        <is>
          <t>GÄVLEBORGS LÄN</t>
        </is>
      </c>
      <c r="E12209" t="inlineStr">
        <is>
          <t>LJUSDAL</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41591-2024</t>
        </is>
      </c>
      <c r="B12210" s="1" t="n">
        <v>45560</v>
      </c>
      <c r="C12210" s="1" t="n">
        <v>45578</v>
      </c>
      <c r="D12210" t="inlineStr">
        <is>
          <t>GÄVLEBORGS LÄN</t>
        </is>
      </c>
      <c r="E12210" t="inlineStr">
        <is>
          <t>BOLLNÄS</t>
        </is>
      </c>
      <c r="G12210" t="n">
        <v>21.8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41385-2024</t>
        </is>
      </c>
      <c r="B12211" s="1" t="n">
        <v>45560</v>
      </c>
      <c r="C12211" s="1" t="n">
        <v>45578</v>
      </c>
      <c r="D12211" t="inlineStr">
        <is>
          <t>GÄVLEBORGS LÄN</t>
        </is>
      </c>
      <c r="E12211" t="inlineStr">
        <is>
          <t>LJUSDAL</t>
        </is>
      </c>
      <c r="G12211" t="n">
        <v>3.4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41453-2024</t>
        </is>
      </c>
      <c r="B12212" s="1" t="n">
        <v>45560</v>
      </c>
      <c r="C12212" s="1" t="n">
        <v>45578</v>
      </c>
      <c r="D12212" t="inlineStr">
        <is>
          <t>GÄVLEBORGS LÄN</t>
        </is>
      </c>
      <c r="E12212" t="inlineStr">
        <is>
          <t>GÄVLE</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41547-2024</t>
        </is>
      </c>
      <c r="B12213" s="1" t="n">
        <v>45560</v>
      </c>
      <c r="C12213" s="1" t="n">
        <v>45578</v>
      </c>
      <c r="D12213" t="inlineStr">
        <is>
          <t>GÄVLEBORGS LÄN</t>
        </is>
      </c>
      <c r="E12213" t="inlineStr">
        <is>
          <t>OVANÅKER</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41608-2024</t>
        </is>
      </c>
      <c r="B12214" s="1" t="n">
        <v>45560</v>
      </c>
      <c r="C12214" s="1" t="n">
        <v>45578</v>
      </c>
      <c r="D12214" t="inlineStr">
        <is>
          <t>GÄVLEBORGS LÄN</t>
        </is>
      </c>
      <c r="E12214" t="inlineStr">
        <is>
          <t>NORDANSTIG</t>
        </is>
      </c>
      <c r="F12214" t="inlineStr">
        <is>
          <t>Holmen skog AB</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41648-2024</t>
        </is>
      </c>
      <c r="B12215" s="1" t="n">
        <v>45560</v>
      </c>
      <c r="C12215" s="1" t="n">
        <v>45578</v>
      </c>
      <c r="D12215" t="inlineStr">
        <is>
          <t>GÄVLEBORGS LÄN</t>
        </is>
      </c>
      <c r="E12215" t="inlineStr">
        <is>
          <t>SÖDERHAMN</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41545-2024</t>
        </is>
      </c>
      <c r="B12216" s="1" t="n">
        <v>45560</v>
      </c>
      <c r="C12216" s="1" t="n">
        <v>45578</v>
      </c>
      <c r="D12216" t="inlineStr">
        <is>
          <t>GÄVLEBORGS LÄN</t>
        </is>
      </c>
      <c r="E12216" t="inlineStr">
        <is>
          <t>OVANÅKER</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41650-2024</t>
        </is>
      </c>
      <c r="B12217" s="1" t="n">
        <v>45560</v>
      </c>
      <c r="C12217" s="1" t="n">
        <v>45578</v>
      </c>
      <c r="D12217" t="inlineStr">
        <is>
          <t>GÄVLEBORGS LÄN</t>
        </is>
      </c>
      <c r="E12217" t="inlineStr">
        <is>
          <t>SÖDERHAMN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41384-2024</t>
        </is>
      </c>
      <c r="B12218" s="1" t="n">
        <v>45560</v>
      </c>
      <c r="C12218" s="1" t="n">
        <v>45578</v>
      </c>
      <c r="D12218" t="inlineStr">
        <is>
          <t>GÄVLEBORGS LÄN</t>
        </is>
      </c>
      <c r="E12218" t="inlineStr">
        <is>
          <t>SANDVIKEN</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41535-2024</t>
        </is>
      </c>
      <c r="B12219" s="1" t="n">
        <v>45560</v>
      </c>
      <c r="C12219" s="1" t="n">
        <v>45578</v>
      </c>
      <c r="D12219" t="inlineStr">
        <is>
          <t>GÄVLEBORGS LÄN</t>
        </is>
      </c>
      <c r="E12219" t="inlineStr">
        <is>
          <t>HUDIKSVALL</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41597-2024</t>
        </is>
      </c>
      <c r="B12220" s="1" t="n">
        <v>45560</v>
      </c>
      <c r="C12220" s="1" t="n">
        <v>45578</v>
      </c>
      <c r="D12220" t="inlineStr">
        <is>
          <t>GÄVLEBORGS LÄN</t>
        </is>
      </c>
      <c r="E12220" t="inlineStr">
        <is>
          <t>BOLLNÄS</t>
        </is>
      </c>
      <c r="G12220" t="n">
        <v>21.8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41649-2024</t>
        </is>
      </c>
      <c r="B12221" s="1" t="n">
        <v>45560</v>
      </c>
      <c r="C12221" s="1" t="n">
        <v>45578</v>
      </c>
      <c r="D12221" t="inlineStr">
        <is>
          <t>GÄVLEBORGS LÄN</t>
        </is>
      </c>
      <c r="E12221" t="inlineStr">
        <is>
          <t>SÖDERHAMN</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41731-2024</t>
        </is>
      </c>
      <c r="B12222" s="1" t="n">
        <v>45560</v>
      </c>
      <c r="C12222" s="1" t="n">
        <v>45578</v>
      </c>
      <c r="D12222" t="inlineStr">
        <is>
          <t>GÄVLEBORGS LÄN</t>
        </is>
      </c>
      <c r="E12222" t="inlineStr">
        <is>
          <t>LJUSDAL</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41735-2024</t>
        </is>
      </c>
      <c r="B12223" s="1" t="n">
        <v>45560</v>
      </c>
      <c r="C12223" s="1" t="n">
        <v>45578</v>
      </c>
      <c r="D12223" t="inlineStr">
        <is>
          <t>GÄVLEBORGS LÄN</t>
        </is>
      </c>
      <c r="E12223" t="inlineStr">
        <is>
          <t>BOLLNÄS</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41712-2024</t>
        </is>
      </c>
      <c r="B12224" s="1" t="n">
        <v>45560</v>
      </c>
      <c r="C12224" s="1" t="n">
        <v>45578</v>
      </c>
      <c r="D12224" t="inlineStr">
        <is>
          <t>GÄVLEBORGS LÄN</t>
        </is>
      </c>
      <c r="E12224" t="inlineStr">
        <is>
          <t>BOLLNÄS</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41730-2024</t>
        </is>
      </c>
      <c r="B12225" s="1" t="n">
        <v>45560</v>
      </c>
      <c r="C12225" s="1" t="n">
        <v>45578</v>
      </c>
      <c r="D12225" t="inlineStr">
        <is>
          <t>GÄVLEBORGS LÄN</t>
        </is>
      </c>
      <c r="E12225" t="inlineStr">
        <is>
          <t>LJUSDAL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41734-2024</t>
        </is>
      </c>
      <c r="B12226" s="1" t="n">
        <v>45560</v>
      </c>
      <c r="C12226" s="1" t="n">
        <v>45578</v>
      </c>
      <c r="D12226" t="inlineStr">
        <is>
          <t>GÄVLEBORGS LÄN</t>
        </is>
      </c>
      <c r="E12226" t="inlineStr">
        <is>
          <t>BOLLNÄS</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41670-2024</t>
        </is>
      </c>
      <c r="B12227" s="1" t="n">
        <v>45560</v>
      </c>
      <c r="C12227" s="1" t="n">
        <v>45578</v>
      </c>
      <c r="D12227" t="inlineStr">
        <is>
          <t>GÄVLEBORGS LÄN</t>
        </is>
      </c>
      <c r="E12227" t="inlineStr">
        <is>
          <t>BOLLNÄS</t>
        </is>
      </c>
      <c r="G12227" t="n">
        <v>11.5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41736-2024</t>
        </is>
      </c>
      <c r="B12228" s="1" t="n">
        <v>45560</v>
      </c>
      <c r="C12228" s="1" t="n">
        <v>45578</v>
      </c>
      <c r="D12228" t="inlineStr">
        <is>
          <t>GÄVLEBORGS LÄN</t>
        </is>
      </c>
      <c r="E12228" t="inlineStr">
        <is>
          <t>BOLLNÄS</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41750-2024</t>
        </is>
      </c>
      <c r="B12229" s="1" t="n">
        <v>45561</v>
      </c>
      <c r="C12229" s="1" t="n">
        <v>45578</v>
      </c>
      <c r="D12229" t="inlineStr">
        <is>
          <t>GÄVLEBORGS LÄN</t>
        </is>
      </c>
      <c r="E12229" t="inlineStr">
        <is>
          <t>HUDIKSVALL</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41774-2024</t>
        </is>
      </c>
      <c r="B12230" s="1" t="n">
        <v>45561</v>
      </c>
      <c r="C12230" s="1" t="n">
        <v>45578</v>
      </c>
      <c r="D12230" t="inlineStr">
        <is>
          <t>GÄVLEBORGS LÄN</t>
        </is>
      </c>
      <c r="E12230" t="inlineStr">
        <is>
          <t>SÖDERHAMN</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41803-2024</t>
        </is>
      </c>
      <c r="B12231" s="1" t="n">
        <v>45561</v>
      </c>
      <c r="C12231" s="1" t="n">
        <v>45578</v>
      </c>
      <c r="D12231" t="inlineStr">
        <is>
          <t>GÄVLEBORGS LÄN</t>
        </is>
      </c>
      <c r="E12231" t="inlineStr">
        <is>
          <t>LJUSDAL</t>
        </is>
      </c>
      <c r="F12231" t="inlineStr">
        <is>
          <t>Bergvik skog väst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41800-2024</t>
        </is>
      </c>
      <c r="B12232" s="1" t="n">
        <v>45561</v>
      </c>
      <c r="C12232" s="1" t="n">
        <v>45578</v>
      </c>
      <c r="D12232" t="inlineStr">
        <is>
          <t>GÄVLEBORGS LÄN</t>
        </is>
      </c>
      <c r="E12232" t="inlineStr">
        <is>
          <t>SANDVIKEN</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41857-2024</t>
        </is>
      </c>
      <c r="B12233" s="1" t="n">
        <v>45561</v>
      </c>
      <c r="C12233" s="1" t="n">
        <v>45578</v>
      </c>
      <c r="D12233" t="inlineStr">
        <is>
          <t>GÄVLEBORGS LÄN</t>
        </is>
      </c>
      <c r="E12233" t="inlineStr">
        <is>
          <t>HUDIKSVALL</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41865-2024</t>
        </is>
      </c>
      <c r="B12234" s="1" t="n">
        <v>45561</v>
      </c>
      <c r="C12234" s="1" t="n">
        <v>45578</v>
      </c>
      <c r="D12234" t="inlineStr">
        <is>
          <t>GÄVLEBORGS LÄN</t>
        </is>
      </c>
      <c r="E12234" t="inlineStr">
        <is>
          <t>BOLLNÄS</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41922-2024</t>
        </is>
      </c>
      <c r="B12235" s="1" t="n">
        <v>45561</v>
      </c>
      <c r="C12235" s="1" t="n">
        <v>45578</v>
      </c>
      <c r="D12235" t="inlineStr">
        <is>
          <t>GÄVLEBORGS LÄN</t>
        </is>
      </c>
      <c r="E12235" t="inlineStr">
        <is>
          <t>LJUSDAL</t>
        </is>
      </c>
      <c r="F12235" t="inlineStr">
        <is>
          <t>Sveaskog</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41790-2024</t>
        </is>
      </c>
      <c r="B12236" s="1" t="n">
        <v>45561</v>
      </c>
      <c r="C12236" s="1" t="n">
        <v>45578</v>
      </c>
      <c r="D12236" t="inlineStr">
        <is>
          <t>GÄVLEBORGS LÄN</t>
        </is>
      </c>
      <c r="E12236" t="inlineStr">
        <is>
          <t>SANDVIKEN</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41839-2024</t>
        </is>
      </c>
      <c r="B12237" s="1" t="n">
        <v>45561</v>
      </c>
      <c r="C12237" s="1" t="n">
        <v>45578</v>
      </c>
      <c r="D12237" t="inlineStr">
        <is>
          <t>GÄVLEBORGS LÄN</t>
        </is>
      </c>
      <c r="E12237" t="inlineStr">
        <is>
          <t>HUDIKSVALL</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41863-2024</t>
        </is>
      </c>
      <c r="B12238" s="1" t="n">
        <v>45561</v>
      </c>
      <c r="C12238" s="1" t="n">
        <v>45578</v>
      </c>
      <c r="D12238" t="inlineStr">
        <is>
          <t>GÄVLEBORGS LÄN</t>
        </is>
      </c>
      <c r="E12238" t="inlineStr">
        <is>
          <t>BOLLNÄS</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41879-2024</t>
        </is>
      </c>
      <c r="B12239" s="1" t="n">
        <v>45561</v>
      </c>
      <c r="C12239" s="1" t="n">
        <v>45578</v>
      </c>
      <c r="D12239" t="inlineStr">
        <is>
          <t>GÄVLEBORGS LÄN</t>
        </is>
      </c>
      <c r="E12239" t="inlineStr">
        <is>
          <t>LJUSDAL</t>
        </is>
      </c>
      <c r="G12239" t="n">
        <v>13.1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42035-2024</t>
        </is>
      </c>
      <c r="B12240" s="1" t="n">
        <v>45561</v>
      </c>
      <c r="C12240" s="1" t="n">
        <v>45578</v>
      </c>
      <c r="D12240" t="inlineStr">
        <is>
          <t>GÄVLEBORGS LÄN</t>
        </is>
      </c>
      <c r="E12240" t="inlineStr">
        <is>
          <t>SÖDERHAMN</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41994-2024</t>
        </is>
      </c>
      <c r="B12241" s="1" t="n">
        <v>45561</v>
      </c>
      <c r="C12241" s="1" t="n">
        <v>45578</v>
      </c>
      <c r="D12241" t="inlineStr">
        <is>
          <t>GÄVLEBORGS LÄN</t>
        </is>
      </c>
      <c r="E12241" t="inlineStr">
        <is>
          <t>LJUSDAL</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41801-2024</t>
        </is>
      </c>
      <c r="B12242" s="1" t="n">
        <v>45561</v>
      </c>
      <c r="C12242" s="1" t="n">
        <v>45578</v>
      </c>
      <c r="D12242" t="inlineStr">
        <is>
          <t>GÄVLEBORGS LÄN</t>
        </is>
      </c>
      <c r="E12242" t="inlineStr">
        <is>
          <t>LJUSDAL</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41882-2024</t>
        </is>
      </c>
      <c r="B12243" s="1" t="n">
        <v>45561</v>
      </c>
      <c r="C12243" s="1" t="n">
        <v>45578</v>
      </c>
      <c r="D12243" t="inlineStr">
        <is>
          <t>GÄVLEBORGS LÄN</t>
        </is>
      </c>
      <c r="E12243" t="inlineStr">
        <is>
          <t>LJUSDAL</t>
        </is>
      </c>
      <c r="G12243" t="n">
        <v>11.9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41985-2024</t>
        </is>
      </c>
      <c r="B12244" s="1" t="n">
        <v>45561</v>
      </c>
      <c r="C12244" s="1" t="n">
        <v>45578</v>
      </c>
      <c r="D12244" t="inlineStr">
        <is>
          <t>GÄVLEBORGS LÄN</t>
        </is>
      </c>
      <c r="E12244" t="inlineStr">
        <is>
          <t>LJUSDAL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42069-2024</t>
        </is>
      </c>
      <c r="B12245" s="1" t="n">
        <v>45562</v>
      </c>
      <c r="C12245" s="1" t="n">
        <v>45578</v>
      </c>
      <c r="D12245" t="inlineStr">
        <is>
          <t>GÄVLEBORGS LÄN</t>
        </is>
      </c>
      <c r="E12245" t="inlineStr">
        <is>
          <t>SANDVIKEN</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42095-2024</t>
        </is>
      </c>
      <c r="B12246" s="1" t="n">
        <v>45562</v>
      </c>
      <c r="C12246" s="1" t="n">
        <v>45578</v>
      </c>
      <c r="D12246" t="inlineStr">
        <is>
          <t>GÄVLEBORGS LÄN</t>
        </is>
      </c>
      <c r="E12246" t="inlineStr">
        <is>
          <t>LJUSDAL</t>
        </is>
      </c>
      <c r="F12246" t="inlineStr">
        <is>
          <t>SCA</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42088-2024</t>
        </is>
      </c>
      <c r="B12247" s="1" t="n">
        <v>45562</v>
      </c>
      <c r="C12247" s="1" t="n">
        <v>45578</v>
      </c>
      <c r="D12247" t="inlineStr">
        <is>
          <t>GÄVLEBORGS LÄN</t>
        </is>
      </c>
      <c r="E12247" t="inlineStr">
        <is>
          <t>SANDVIKEN</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42107-2024</t>
        </is>
      </c>
      <c r="B12248" s="1" t="n">
        <v>45562</v>
      </c>
      <c r="C12248" s="1" t="n">
        <v>45578</v>
      </c>
      <c r="D12248" t="inlineStr">
        <is>
          <t>GÄVLEBORGS LÄN</t>
        </is>
      </c>
      <c r="E12248" t="inlineStr">
        <is>
          <t>SANDVIKEN</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42068-2024</t>
        </is>
      </c>
      <c r="B12249" s="1" t="n">
        <v>45562</v>
      </c>
      <c r="C12249" s="1" t="n">
        <v>45578</v>
      </c>
      <c r="D12249" t="inlineStr">
        <is>
          <t>GÄVLEBORGS LÄN</t>
        </is>
      </c>
      <c r="E12249" t="inlineStr">
        <is>
          <t>OVANÅKER</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42082-2024</t>
        </is>
      </c>
      <c r="B12250" s="1" t="n">
        <v>45562</v>
      </c>
      <c r="C12250" s="1" t="n">
        <v>45578</v>
      </c>
      <c r="D12250" t="inlineStr">
        <is>
          <t>GÄVLEBORGS LÄN</t>
        </is>
      </c>
      <c r="E12250" t="inlineStr">
        <is>
          <t>LJUSDAL</t>
        </is>
      </c>
      <c r="F12250" t="inlineStr">
        <is>
          <t>Bergvik skog väst AB</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42136-2024</t>
        </is>
      </c>
      <c r="B12251" s="1" t="n">
        <v>45562</v>
      </c>
      <c r="C12251" s="1" t="n">
        <v>45578</v>
      </c>
      <c r="D12251" t="inlineStr">
        <is>
          <t>GÄVLEBORGS LÄN</t>
        </is>
      </c>
      <c r="E12251" t="inlineStr">
        <is>
          <t>HUDIKSVALL</t>
        </is>
      </c>
      <c r="F12251" t="inlineStr">
        <is>
          <t>Holmen skog AB</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42144-2024</t>
        </is>
      </c>
      <c r="B12252" s="1" t="n">
        <v>45562</v>
      </c>
      <c r="C12252" s="1" t="n">
        <v>45578</v>
      </c>
      <c r="D12252" t="inlineStr">
        <is>
          <t>GÄVLEBORGS LÄN</t>
        </is>
      </c>
      <c r="E12252" t="inlineStr">
        <is>
          <t>HUDIKSVALL</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42152-2024</t>
        </is>
      </c>
      <c r="B12253" s="1" t="n">
        <v>45562</v>
      </c>
      <c r="C12253" s="1" t="n">
        <v>45578</v>
      </c>
      <c r="D12253" t="inlineStr">
        <is>
          <t>GÄVLEBORGS LÄN</t>
        </is>
      </c>
      <c r="E12253" t="inlineStr">
        <is>
          <t>LJUSDAL</t>
        </is>
      </c>
      <c r="F12253" t="inlineStr">
        <is>
          <t>SCA</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42153-2024</t>
        </is>
      </c>
      <c r="B12254" s="1" t="n">
        <v>45562</v>
      </c>
      <c r="C12254" s="1" t="n">
        <v>45578</v>
      </c>
      <c r="D12254" t="inlineStr">
        <is>
          <t>GÄVLEBORGS LÄN</t>
        </is>
      </c>
      <c r="E12254" t="inlineStr">
        <is>
          <t>LJUSDAL</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42217-2024</t>
        </is>
      </c>
      <c r="B12255" s="1" t="n">
        <v>45562</v>
      </c>
      <c r="C12255" s="1" t="n">
        <v>45578</v>
      </c>
      <c r="D12255" t="inlineStr">
        <is>
          <t>GÄVLEBORGS LÄN</t>
        </is>
      </c>
      <c r="E12255" t="inlineStr">
        <is>
          <t>HUDIKSVALL</t>
        </is>
      </c>
      <c r="F12255" t="inlineStr">
        <is>
          <t>Holmen skog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42253-2024</t>
        </is>
      </c>
      <c r="B12256" s="1" t="n">
        <v>45562</v>
      </c>
      <c r="C12256" s="1" t="n">
        <v>45578</v>
      </c>
      <c r="D12256" t="inlineStr">
        <is>
          <t>GÄVLEBORGS LÄN</t>
        </is>
      </c>
      <c r="E12256" t="inlineStr">
        <is>
          <t>NORDANSTIG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42263-2024</t>
        </is>
      </c>
      <c r="B12257" s="1" t="n">
        <v>45562</v>
      </c>
      <c r="C12257" s="1" t="n">
        <v>45578</v>
      </c>
      <c r="D12257" t="inlineStr">
        <is>
          <t>GÄVLEBORGS LÄN</t>
        </is>
      </c>
      <c r="E12257" t="inlineStr">
        <is>
          <t>LJUSDAL</t>
        </is>
      </c>
      <c r="G12257" t="n">
        <v>5.8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42071-2024</t>
        </is>
      </c>
      <c r="B12258" s="1" t="n">
        <v>45562</v>
      </c>
      <c r="C12258" s="1" t="n">
        <v>45578</v>
      </c>
      <c r="D12258" t="inlineStr">
        <is>
          <t>GÄVLEBORGS LÄN</t>
        </is>
      </c>
      <c r="E12258" t="inlineStr">
        <is>
          <t>SANDVIKEN</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42101-2024</t>
        </is>
      </c>
      <c r="B12259" s="1" t="n">
        <v>45562</v>
      </c>
      <c r="C12259" s="1" t="n">
        <v>45578</v>
      </c>
      <c r="D12259" t="inlineStr">
        <is>
          <t>GÄVLEBORGS LÄN</t>
        </is>
      </c>
      <c r="E12259" t="inlineStr">
        <is>
          <t>HUDIKSVALL</t>
        </is>
      </c>
      <c r="F12259" t="inlineStr">
        <is>
          <t>Holmen skog AB</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42129-2024</t>
        </is>
      </c>
      <c r="B12260" s="1" t="n">
        <v>45562</v>
      </c>
      <c r="C12260" s="1" t="n">
        <v>45578</v>
      </c>
      <c r="D12260" t="inlineStr">
        <is>
          <t>GÄVLEBORGS LÄN</t>
        </is>
      </c>
      <c r="E12260" t="inlineStr">
        <is>
          <t>BOLLNÄS</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42158-2024</t>
        </is>
      </c>
      <c r="B12261" s="1" t="n">
        <v>45562</v>
      </c>
      <c r="C12261" s="1" t="n">
        <v>45578</v>
      </c>
      <c r="D12261" t="inlineStr">
        <is>
          <t>GÄVLEBORGS LÄN</t>
        </is>
      </c>
      <c r="E12261" t="inlineStr">
        <is>
          <t>LJUSDAL</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42210-2024</t>
        </is>
      </c>
      <c r="B12262" s="1" t="n">
        <v>45562</v>
      </c>
      <c r="C12262" s="1" t="n">
        <v>45578</v>
      </c>
      <c r="D12262" t="inlineStr">
        <is>
          <t>GÄVLEBORGS LÄN</t>
        </is>
      </c>
      <c r="E12262" t="inlineStr">
        <is>
          <t>GÄVLE</t>
        </is>
      </c>
      <c r="F12262" t="inlineStr">
        <is>
          <t>Bergvik skog väst AB</t>
        </is>
      </c>
      <c r="G12262" t="n">
        <v>10.7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42273-2024</t>
        </is>
      </c>
      <c r="B12263" s="1" t="n">
        <v>45562</v>
      </c>
      <c r="C12263" s="1" t="n">
        <v>45578</v>
      </c>
      <c r="D12263" t="inlineStr">
        <is>
          <t>GÄVLEBORGS LÄN</t>
        </is>
      </c>
      <c r="E12263" t="inlineStr">
        <is>
          <t>SÖDERHAMN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42314-2024</t>
        </is>
      </c>
      <c r="B12264" s="1" t="n">
        <v>45562</v>
      </c>
      <c r="C12264" s="1" t="n">
        <v>45578</v>
      </c>
      <c r="D12264" t="inlineStr">
        <is>
          <t>GÄVLEBORGS LÄN</t>
        </is>
      </c>
      <c r="E12264" t="inlineStr">
        <is>
          <t>HUDIKSVALL</t>
        </is>
      </c>
      <c r="F12264" t="inlineStr">
        <is>
          <t>Holmen skog AB</t>
        </is>
      </c>
      <c r="G12264" t="n">
        <v>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42322-2024</t>
        </is>
      </c>
      <c r="B12265" s="1" t="n">
        <v>45562</v>
      </c>
      <c r="C12265" s="1" t="n">
        <v>45578</v>
      </c>
      <c r="D12265" t="inlineStr">
        <is>
          <t>GÄVLEBORGS LÄN</t>
        </is>
      </c>
      <c r="E12265" t="inlineStr">
        <is>
          <t>OVANÅKER</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42334-2024</t>
        </is>
      </c>
      <c r="B12266" s="1" t="n">
        <v>45562</v>
      </c>
      <c r="C12266" s="1" t="n">
        <v>45578</v>
      </c>
      <c r="D12266" t="inlineStr">
        <is>
          <t>GÄVLEBORGS LÄN</t>
        </is>
      </c>
      <c r="E12266" t="inlineStr">
        <is>
          <t>OVANÅKER</t>
        </is>
      </c>
      <c r="G12266" t="n">
        <v>5.4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42331-2024</t>
        </is>
      </c>
      <c r="B12267" s="1" t="n">
        <v>45562</v>
      </c>
      <c r="C12267" s="1" t="n">
        <v>45578</v>
      </c>
      <c r="D12267" t="inlineStr">
        <is>
          <t>GÄVLEBORGS LÄN</t>
        </is>
      </c>
      <c r="E12267" t="inlineStr">
        <is>
          <t>OVANÅKER</t>
        </is>
      </c>
      <c r="G12267" t="n">
        <v>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42360-2024</t>
        </is>
      </c>
      <c r="B12268" s="1" t="n">
        <v>45562</v>
      </c>
      <c r="C12268" s="1" t="n">
        <v>45578</v>
      </c>
      <c r="D12268" t="inlineStr">
        <is>
          <t>GÄVLEBORGS LÄN</t>
        </is>
      </c>
      <c r="E12268" t="inlineStr">
        <is>
          <t>GÄVLE</t>
        </is>
      </c>
      <c r="G12268" t="n">
        <v>7.5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42164-2024</t>
        </is>
      </c>
      <c r="B12269" s="1" t="n">
        <v>45562</v>
      </c>
      <c r="C12269" s="1" t="n">
        <v>45578</v>
      </c>
      <c r="D12269" t="inlineStr">
        <is>
          <t>GÄVLEBORGS LÄN</t>
        </is>
      </c>
      <c r="E12269" t="inlineStr">
        <is>
          <t>LJUSDAL</t>
        </is>
      </c>
      <c r="F12269" t="inlineStr">
        <is>
          <t>Bergvik skog väst AB</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42247-2024</t>
        </is>
      </c>
      <c r="B12270" s="1" t="n">
        <v>45562</v>
      </c>
      <c r="C12270" s="1" t="n">
        <v>45578</v>
      </c>
      <c r="D12270" t="inlineStr">
        <is>
          <t>GÄVLEBORGS LÄN</t>
        </is>
      </c>
      <c r="E12270" t="inlineStr">
        <is>
          <t>GÄVLE</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42265-2024</t>
        </is>
      </c>
      <c r="B12271" s="1" t="n">
        <v>45562</v>
      </c>
      <c r="C12271" s="1" t="n">
        <v>45578</v>
      </c>
      <c r="D12271" t="inlineStr">
        <is>
          <t>GÄVLEBORGS LÄN</t>
        </is>
      </c>
      <c r="E12271" t="inlineStr">
        <is>
          <t>SÖDERHAMN</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42316-2024</t>
        </is>
      </c>
      <c r="B12272" s="1" t="n">
        <v>45562</v>
      </c>
      <c r="C12272" s="1" t="n">
        <v>45578</v>
      </c>
      <c r="D12272" t="inlineStr">
        <is>
          <t>GÄVLEBORGS LÄN</t>
        </is>
      </c>
      <c r="E12272" t="inlineStr">
        <is>
          <t>OVANÅKER</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42324-2024</t>
        </is>
      </c>
      <c r="B12273" s="1" t="n">
        <v>45562</v>
      </c>
      <c r="C12273" s="1" t="n">
        <v>45578</v>
      </c>
      <c r="D12273" t="inlineStr">
        <is>
          <t>GÄVLEBORGS LÄN</t>
        </is>
      </c>
      <c r="E12273" t="inlineStr">
        <is>
          <t>OVANÅKER</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42392-2024</t>
        </is>
      </c>
      <c r="B12274" s="1" t="n">
        <v>45565</v>
      </c>
      <c r="C12274" s="1" t="n">
        <v>45578</v>
      </c>
      <c r="D12274" t="inlineStr">
        <is>
          <t>GÄVLEBORGS LÄN</t>
        </is>
      </c>
      <c r="E12274" t="inlineStr">
        <is>
          <t>LJUSDAL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42400-2024</t>
        </is>
      </c>
      <c r="B12275" s="1" t="n">
        <v>45565</v>
      </c>
      <c r="C12275" s="1" t="n">
        <v>45578</v>
      </c>
      <c r="D12275" t="inlineStr">
        <is>
          <t>GÄVLEBORGS LÄN</t>
        </is>
      </c>
      <c r="E12275" t="inlineStr">
        <is>
          <t>GÄVLE</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42509-2024</t>
        </is>
      </c>
      <c r="B12276" s="1" t="n">
        <v>45565</v>
      </c>
      <c r="C12276" s="1" t="n">
        <v>45578</v>
      </c>
      <c r="D12276" t="inlineStr">
        <is>
          <t>GÄVLEBORGS LÄN</t>
        </is>
      </c>
      <c r="E12276" t="inlineStr">
        <is>
          <t>HUDIKSVALL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42518-2024</t>
        </is>
      </c>
      <c r="B12277" s="1" t="n">
        <v>45565</v>
      </c>
      <c r="C12277" s="1" t="n">
        <v>45578</v>
      </c>
      <c r="D12277" t="inlineStr">
        <is>
          <t>GÄVLEBORGS LÄN</t>
        </is>
      </c>
      <c r="E12277" t="inlineStr">
        <is>
          <t>HUDIKSVALL</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42580-2024</t>
        </is>
      </c>
      <c r="B12278" s="1" t="n">
        <v>45565</v>
      </c>
      <c r="C12278" s="1" t="n">
        <v>45578</v>
      </c>
      <c r="D12278" t="inlineStr">
        <is>
          <t>GÄVLEBORGS LÄN</t>
        </is>
      </c>
      <c r="E12278" t="inlineStr">
        <is>
          <t>BOLLNÄS</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42527-2024</t>
        </is>
      </c>
      <c r="B12279" s="1" t="n">
        <v>45565</v>
      </c>
      <c r="C12279" s="1" t="n">
        <v>45578</v>
      </c>
      <c r="D12279" t="inlineStr">
        <is>
          <t>GÄVLEBORGS LÄN</t>
        </is>
      </c>
      <c r="E12279" t="inlineStr">
        <is>
          <t>OCKELBO</t>
        </is>
      </c>
      <c r="F12279" t="inlineStr">
        <is>
          <t>Bergvik skog väst AB</t>
        </is>
      </c>
      <c r="G12279" t="n">
        <v>11.4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42543-2024</t>
        </is>
      </c>
      <c r="B12280" s="1" t="n">
        <v>45565</v>
      </c>
      <c r="C12280" s="1" t="n">
        <v>45578</v>
      </c>
      <c r="D12280" t="inlineStr">
        <is>
          <t>GÄVLEBORGS LÄN</t>
        </is>
      </c>
      <c r="E12280" t="inlineStr">
        <is>
          <t>BOLLNÄS</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42417-2024</t>
        </is>
      </c>
      <c r="B12281" s="1" t="n">
        <v>45565</v>
      </c>
      <c r="C12281" s="1" t="n">
        <v>45578</v>
      </c>
      <c r="D12281" t="inlineStr">
        <is>
          <t>GÄVLEBORGS LÄN</t>
        </is>
      </c>
      <c r="E12281" t="inlineStr">
        <is>
          <t>LJUSDAL</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42521-2024</t>
        </is>
      </c>
      <c r="B12282" s="1" t="n">
        <v>45565</v>
      </c>
      <c r="C12282" s="1" t="n">
        <v>45578</v>
      </c>
      <c r="D12282" t="inlineStr">
        <is>
          <t>GÄVLEBORGS LÄN</t>
        </is>
      </c>
      <c r="E12282" t="inlineStr">
        <is>
          <t>HUDIKSVALL</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42540-2024</t>
        </is>
      </c>
      <c r="B12283" s="1" t="n">
        <v>45565</v>
      </c>
      <c r="C12283" s="1" t="n">
        <v>45578</v>
      </c>
      <c r="D12283" t="inlineStr">
        <is>
          <t>GÄVLEBORGS LÄN</t>
        </is>
      </c>
      <c r="E12283" t="inlineStr">
        <is>
          <t>LJUSDAL</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42570-2024</t>
        </is>
      </c>
      <c r="B12284" s="1" t="n">
        <v>45565</v>
      </c>
      <c r="C12284" s="1" t="n">
        <v>45578</v>
      </c>
      <c r="D12284" t="inlineStr">
        <is>
          <t>GÄVLEBORGS LÄN</t>
        </is>
      </c>
      <c r="E12284" t="inlineStr">
        <is>
          <t>BOLLNÄS</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42629-2024</t>
        </is>
      </c>
      <c r="B12285" s="1" t="n">
        <v>45565</v>
      </c>
      <c r="C12285" s="1" t="n">
        <v>45578</v>
      </c>
      <c r="D12285" t="inlineStr">
        <is>
          <t>GÄVLEBORGS LÄN</t>
        </is>
      </c>
      <c r="E12285" t="inlineStr">
        <is>
          <t>HUDIKSVALL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42537-2024</t>
        </is>
      </c>
      <c r="B12286" s="1" t="n">
        <v>45565</v>
      </c>
      <c r="C12286" s="1" t="n">
        <v>45578</v>
      </c>
      <c r="D12286" t="inlineStr">
        <is>
          <t>GÄVLEBORGS LÄN</t>
        </is>
      </c>
      <c r="E12286" t="inlineStr">
        <is>
          <t>LJUSDAL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42541-2024</t>
        </is>
      </c>
      <c r="B12287" s="1" t="n">
        <v>45565</v>
      </c>
      <c r="C12287" s="1" t="n">
        <v>45578</v>
      </c>
      <c r="D12287" t="inlineStr">
        <is>
          <t>GÄVLEBORGS LÄN</t>
        </is>
      </c>
      <c r="E12287" t="inlineStr">
        <is>
          <t>BOLLNÄS</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42549-2024</t>
        </is>
      </c>
      <c r="B12288" s="1" t="n">
        <v>45565</v>
      </c>
      <c r="C12288" s="1" t="n">
        <v>45578</v>
      </c>
      <c r="D12288" t="inlineStr">
        <is>
          <t>GÄVLEBORGS LÄN</t>
        </is>
      </c>
      <c r="E12288" t="inlineStr">
        <is>
          <t>SÖDERHAMN</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42575-2024</t>
        </is>
      </c>
      <c r="B12289" s="1" t="n">
        <v>45565</v>
      </c>
      <c r="C12289" s="1" t="n">
        <v>45578</v>
      </c>
      <c r="D12289" t="inlineStr">
        <is>
          <t>GÄVLEBORGS LÄN</t>
        </is>
      </c>
      <c r="E12289" t="inlineStr">
        <is>
          <t>BOLLNÄS</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42579-2024</t>
        </is>
      </c>
      <c r="B12290" s="1" t="n">
        <v>45565</v>
      </c>
      <c r="C12290" s="1" t="n">
        <v>45578</v>
      </c>
      <c r="D12290" t="inlineStr">
        <is>
          <t>GÄVLEBORGS LÄN</t>
        </is>
      </c>
      <c r="E12290" t="inlineStr">
        <is>
          <t>BOLLNÄS</t>
        </is>
      </c>
      <c r="G12290" t="n">
        <v>7.9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42644-2024</t>
        </is>
      </c>
      <c r="B12291" s="1" t="n">
        <v>45566</v>
      </c>
      <c r="C12291" s="1" t="n">
        <v>45578</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42643-2024</t>
        </is>
      </c>
      <c r="B12292" s="1" t="n">
        <v>45566</v>
      </c>
      <c r="C12292" s="1" t="n">
        <v>45578</v>
      </c>
      <c r="D12292" t="inlineStr">
        <is>
          <t>GÄVLEBORGS LÄN</t>
        </is>
      </c>
      <c r="E12292" t="inlineStr">
        <is>
          <t>BOLLNÄS</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42659-2024</t>
        </is>
      </c>
      <c r="B12293" s="1" t="n">
        <v>45566</v>
      </c>
      <c r="C12293" s="1" t="n">
        <v>45578</v>
      </c>
      <c r="D12293" t="inlineStr">
        <is>
          <t>GÄVLEBORGS LÄN</t>
        </is>
      </c>
      <c r="E12293" t="inlineStr">
        <is>
          <t>HUDIKSVALL</t>
        </is>
      </c>
      <c r="F12293" t="inlineStr">
        <is>
          <t>Holmen skog AB</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42687-2024</t>
        </is>
      </c>
      <c r="B12294" s="1" t="n">
        <v>45566</v>
      </c>
      <c r="C12294" s="1" t="n">
        <v>45578</v>
      </c>
      <c r="D12294" t="inlineStr">
        <is>
          <t>GÄVLEBORGS LÄN</t>
        </is>
      </c>
      <c r="E12294" t="inlineStr">
        <is>
          <t>HUDIKSVALL</t>
        </is>
      </c>
      <c r="F12294" t="inlineStr">
        <is>
          <t>Holmen skog AB</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42701-2024</t>
        </is>
      </c>
      <c r="B12295" s="1" t="n">
        <v>45566</v>
      </c>
      <c r="C12295" s="1" t="n">
        <v>45578</v>
      </c>
      <c r="D12295" t="inlineStr">
        <is>
          <t>GÄVLEBORGS LÄN</t>
        </is>
      </c>
      <c r="E12295" t="inlineStr">
        <is>
          <t>NORDANSTIG</t>
        </is>
      </c>
      <c r="F12295" t="inlineStr">
        <is>
          <t>Holmen skog AB</t>
        </is>
      </c>
      <c r="G12295" t="n">
        <v>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42692-2024</t>
        </is>
      </c>
      <c r="B12296" s="1" t="n">
        <v>45566</v>
      </c>
      <c r="C12296" s="1" t="n">
        <v>45578</v>
      </c>
      <c r="D12296" t="inlineStr">
        <is>
          <t>GÄVLEBORGS LÄN</t>
        </is>
      </c>
      <c r="E12296" t="inlineStr">
        <is>
          <t>HUDIKSVALL</t>
        </is>
      </c>
      <c r="G12296" t="n">
        <v>8.699999999999999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42708-2024</t>
        </is>
      </c>
      <c r="B12297" s="1" t="n">
        <v>45566</v>
      </c>
      <c r="C12297" s="1" t="n">
        <v>45578</v>
      </c>
      <c r="D12297" t="inlineStr">
        <is>
          <t>GÄVLEBORGS LÄN</t>
        </is>
      </c>
      <c r="E12297" t="inlineStr">
        <is>
          <t>HUDIKSVALL</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42722-2024</t>
        </is>
      </c>
      <c r="B12298" s="1" t="n">
        <v>45566</v>
      </c>
      <c r="C12298" s="1" t="n">
        <v>45578</v>
      </c>
      <c r="D12298" t="inlineStr">
        <is>
          <t>GÄVLEBORGS LÄN</t>
        </is>
      </c>
      <c r="E12298" t="inlineStr">
        <is>
          <t>OVANÅKER</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42726-2024</t>
        </is>
      </c>
      <c r="B12299" s="1" t="n">
        <v>45566</v>
      </c>
      <c r="C12299" s="1" t="n">
        <v>45578</v>
      </c>
      <c r="D12299" t="inlineStr">
        <is>
          <t>GÄVLEBORGS LÄN</t>
        </is>
      </c>
      <c r="E12299" t="inlineStr">
        <is>
          <t>LJUSDAL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42864-2024</t>
        </is>
      </c>
      <c r="B12300" s="1" t="n">
        <v>45566</v>
      </c>
      <c r="C12300" s="1" t="n">
        <v>45578</v>
      </c>
      <c r="D12300" t="inlineStr">
        <is>
          <t>GÄVLEBORGS LÄN</t>
        </is>
      </c>
      <c r="E12300" t="inlineStr">
        <is>
          <t>SANDVIKEN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42868-2024</t>
        </is>
      </c>
      <c r="B12301" s="1" t="n">
        <v>45566</v>
      </c>
      <c r="C12301" s="1" t="n">
        <v>45578</v>
      </c>
      <c r="D12301" t="inlineStr">
        <is>
          <t>GÄVLEBORGS LÄN</t>
        </is>
      </c>
      <c r="E12301" t="inlineStr">
        <is>
          <t>SANDVIKEN</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42657-2024</t>
        </is>
      </c>
      <c r="B12302" s="1" t="n">
        <v>45566</v>
      </c>
      <c r="C12302" s="1" t="n">
        <v>45578</v>
      </c>
      <c r="D12302" t="inlineStr">
        <is>
          <t>GÄVLEBORGS LÄN</t>
        </is>
      </c>
      <c r="E12302" t="inlineStr">
        <is>
          <t>HUDIKSVALL</t>
        </is>
      </c>
      <c r="F12302" t="inlineStr">
        <is>
          <t>Holmen skog AB</t>
        </is>
      </c>
      <c r="G12302" t="n">
        <v>10</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42720-2024</t>
        </is>
      </c>
      <c r="B12303" s="1" t="n">
        <v>45566</v>
      </c>
      <c r="C12303" s="1" t="n">
        <v>45578</v>
      </c>
      <c r="D12303" t="inlineStr">
        <is>
          <t>GÄVLEBORGS LÄN</t>
        </is>
      </c>
      <c r="E12303" t="inlineStr">
        <is>
          <t>LJUSDAL</t>
        </is>
      </c>
      <c r="F12303" t="inlineStr">
        <is>
          <t>Kommuner</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42796-2024</t>
        </is>
      </c>
      <c r="B12304" s="1" t="n">
        <v>45566</v>
      </c>
      <c r="C12304" s="1" t="n">
        <v>45578</v>
      </c>
      <c r="D12304" t="inlineStr">
        <is>
          <t>GÄVLEBORGS LÄN</t>
        </is>
      </c>
      <c r="E12304" t="inlineStr">
        <is>
          <t>NORDANSTIG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42865-2024</t>
        </is>
      </c>
      <c r="B12305" s="1" t="n">
        <v>45566</v>
      </c>
      <c r="C12305" s="1" t="n">
        <v>45578</v>
      </c>
      <c r="D12305" t="inlineStr">
        <is>
          <t>GÄVLEBORGS LÄN</t>
        </is>
      </c>
      <c r="E12305" t="inlineStr">
        <is>
          <t>SANDVIKEN</t>
        </is>
      </c>
      <c r="F12305" t="inlineStr">
        <is>
          <t>Sveaskog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42869-2024</t>
        </is>
      </c>
      <c r="B12306" s="1" t="n">
        <v>45566</v>
      </c>
      <c r="C12306" s="1" t="n">
        <v>45578</v>
      </c>
      <c r="D12306" t="inlineStr">
        <is>
          <t>GÄVLEBORGS LÄN</t>
        </is>
      </c>
      <c r="E12306" t="inlineStr">
        <is>
          <t>SANDVIKEN</t>
        </is>
      </c>
      <c r="F12306" t="inlineStr">
        <is>
          <t>Sveaskog</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42873-2024</t>
        </is>
      </c>
      <c r="B12307" s="1" t="n">
        <v>45566</v>
      </c>
      <c r="C12307" s="1" t="n">
        <v>45578</v>
      </c>
      <c r="D12307" t="inlineStr">
        <is>
          <t>GÄVLEBORGS LÄN</t>
        </is>
      </c>
      <c r="E12307" t="inlineStr">
        <is>
          <t>OCKELBO</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42703-2024</t>
        </is>
      </c>
      <c r="B12308" s="1" t="n">
        <v>45566</v>
      </c>
      <c r="C12308" s="1" t="n">
        <v>45578</v>
      </c>
      <c r="D12308" t="inlineStr">
        <is>
          <t>GÄVLEBORGS LÄN</t>
        </is>
      </c>
      <c r="E12308" t="inlineStr">
        <is>
          <t>LJUSDAL</t>
        </is>
      </c>
      <c r="F12308" t="inlineStr">
        <is>
          <t>Kommuner</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42712-2024</t>
        </is>
      </c>
      <c r="B12309" s="1" t="n">
        <v>45566</v>
      </c>
      <c r="C12309" s="1" t="n">
        <v>45578</v>
      </c>
      <c r="D12309" t="inlineStr">
        <is>
          <t>GÄVLEBORGS LÄN</t>
        </is>
      </c>
      <c r="E12309" t="inlineStr">
        <is>
          <t>LJUSDAL</t>
        </is>
      </c>
      <c r="F12309" t="inlineStr">
        <is>
          <t>Kommuner</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42717-2024</t>
        </is>
      </c>
      <c r="B12310" s="1" t="n">
        <v>45566</v>
      </c>
      <c r="C12310" s="1" t="n">
        <v>45578</v>
      </c>
      <c r="D12310" t="inlineStr">
        <is>
          <t>GÄVLEBORGS LÄN</t>
        </is>
      </c>
      <c r="E12310" t="inlineStr">
        <is>
          <t>NORDANSTIG</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42810-2024</t>
        </is>
      </c>
      <c r="B12311" s="1" t="n">
        <v>45566</v>
      </c>
      <c r="C12311" s="1" t="n">
        <v>45578</v>
      </c>
      <c r="D12311" t="inlineStr">
        <is>
          <t>GÄVLEBORGS LÄN</t>
        </is>
      </c>
      <c r="E12311" t="inlineStr">
        <is>
          <t>OCKELBO</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42858-2024</t>
        </is>
      </c>
      <c r="B12312" s="1" t="n">
        <v>45566</v>
      </c>
      <c r="C12312" s="1" t="n">
        <v>45578</v>
      </c>
      <c r="D12312" t="inlineStr">
        <is>
          <t>GÄVLEBORGS LÄN</t>
        </is>
      </c>
      <c r="E12312" t="inlineStr">
        <is>
          <t>NORDANSTIG</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42902-2024</t>
        </is>
      </c>
      <c r="B12313" s="1" t="n">
        <v>45566</v>
      </c>
      <c r="C12313" s="1" t="n">
        <v>45578</v>
      </c>
      <c r="D12313" t="inlineStr">
        <is>
          <t>GÄVLEBORGS LÄN</t>
        </is>
      </c>
      <c r="E12313" t="inlineStr">
        <is>
          <t>SÖDERHAMN</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42991-2024</t>
        </is>
      </c>
      <c r="B12314" s="1" t="n">
        <v>45567</v>
      </c>
      <c r="C12314" s="1" t="n">
        <v>45578</v>
      </c>
      <c r="D12314" t="inlineStr">
        <is>
          <t>GÄVLEBORGS LÄN</t>
        </is>
      </c>
      <c r="E12314" t="inlineStr">
        <is>
          <t>OVANÅKER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42942-2024</t>
        </is>
      </c>
      <c r="B12315" s="1" t="n">
        <v>45567</v>
      </c>
      <c r="C12315" s="1" t="n">
        <v>45578</v>
      </c>
      <c r="D12315" t="inlineStr">
        <is>
          <t>GÄVLEBORGS LÄN</t>
        </is>
      </c>
      <c r="E12315" t="inlineStr">
        <is>
          <t>HUDIKSVALL</t>
        </is>
      </c>
      <c r="F12315" t="inlineStr">
        <is>
          <t>Holmen skog AB</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43007-2024</t>
        </is>
      </c>
      <c r="B12316" s="1" t="n">
        <v>45567</v>
      </c>
      <c r="C12316" s="1" t="n">
        <v>45578</v>
      </c>
      <c r="D12316" t="inlineStr">
        <is>
          <t>GÄVLEBORGS LÄN</t>
        </is>
      </c>
      <c r="E12316" t="inlineStr">
        <is>
          <t>GÄVLE</t>
        </is>
      </c>
      <c r="F12316" t="inlineStr">
        <is>
          <t>Bergvik skog öst AB</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43121-2024</t>
        </is>
      </c>
      <c r="B12317" s="1" t="n">
        <v>45567</v>
      </c>
      <c r="C12317" s="1" t="n">
        <v>45578</v>
      </c>
      <c r="D12317" t="inlineStr">
        <is>
          <t>GÄVLEBORGS LÄN</t>
        </is>
      </c>
      <c r="E12317" t="inlineStr">
        <is>
          <t>SANDVIKEN</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43129-2024</t>
        </is>
      </c>
      <c r="B12318" s="1" t="n">
        <v>45567</v>
      </c>
      <c r="C12318" s="1" t="n">
        <v>45578</v>
      </c>
      <c r="D12318" t="inlineStr">
        <is>
          <t>GÄVLEBORGS LÄN</t>
        </is>
      </c>
      <c r="E12318" t="inlineStr">
        <is>
          <t>BOLLNÄS</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43177-2024</t>
        </is>
      </c>
      <c r="B12319" s="1" t="n">
        <v>45567</v>
      </c>
      <c r="C12319" s="1" t="n">
        <v>45578</v>
      </c>
      <c r="D12319" t="inlineStr">
        <is>
          <t>GÄVLEBORGS LÄN</t>
        </is>
      </c>
      <c r="E12319" t="inlineStr">
        <is>
          <t>BOLLNÄS</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43189-2024</t>
        </is>
      </c>
      <c r="B12320" s="1" t="n">
        <v>45567</v>
      </c>
      <c r="C12320" s="1" t="n">
        <v>45578</v>
      </c>
      <c r="D12320" t="inlineStr">
        <is>
          <t>GÄVLEBORGS LÄN</t>
        </is>
      </c>
      <c r="E12320" t="inlineStr">
        <is>
          <t>LJUSDAL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43070-2024</t>
        </is>
      </c>
      <c r="B12321" s="1" t="n">
        <v>45567</v>
      </c>
      <c r="C12321" s="1" t="n">
        <v>45578</v>
      </c>
      <c r="D12321" t="inlineStr">
        <is>
          <t>GÄVLEBORGS LÄN</t>
        </is>
      </c>
      <c r="E12321" t="inlineStr">
        <is>
          <t>HUDIKSVALL</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43131-2024</t>
        </is>
      </c>
      <c r="B12322" s="1" t="n">
        <v>45567</v>
      </c>
      <c r="C12322" s="1" t="n">
        <v>45578</v>
      </c>
      <c r="D12322" t="inlineStr">
        <is>
          <t>GÄVLEBORGS LÄN</t>
        </is>
      </c>
      <c r="E12322" t="inlineStr">
        <is>
          <t>BOLLNÄS</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43143-2024</t>
        </is>
      </c>
      <c r="B12323" s="1" t="n">
        <v>45567</v>
      </c>
      <c r="C12323" s="1" t="n">
        <v>45578</v>
      </c>
      <c r="D12323" t="inlineStr">
        <is>
          <t>GÄVLEBORGS LÄN</t>
        </is>
      </c>
      <c r="E12323" t="inlineStr">
        <is>
          <t>HOFORS</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43151-2024</t>
        </is>
      </c>
      <c r="B12324" s="1" t="n">
        <v>45567</v>
      </c>
      <c r="C12324" s="1" t="n">
        <v>45578</v>
      </c>
      <c r="D12324" t="inlineStr">
        <is>
          <t>GÄVLEBORGS LÄN</t>
        </is>
      </c>
      <c r="E12324" t="inlineStr">
        <is>
          <t>LJUSDAL</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43230-2024</t>
        </is>
      </c>
      <c r="B12325" s="1" t="n">
        <v>45567</v>
      </c>
      <c r="C12325" s="1" t="n">
        <v>45578</v>
      </c>
      <c r="D12325" t="inlineStr">
        <is>
          <t>GÄVLEBORGS LÄN</t>
        </is>
      </c>
      <c r="E12325" t="inlineStr">
        <is>
          <t>GÄVLE</t>
        </is>
      </c>
      <c r="G12325" t="n">
        <v>9.5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43028-2024</t>
        </is>
      </c>
      <c r="B12326" s="1" t="n">
        <v>45567</v>
      </c>
      <c r="C12326" s="1" t="n">
        <v>45578</v>
      </c>
      <c r="D12326" t="inlineStr">
        <is>
          <t>GÄVLEBORGS LÄN</t>
        </is>
      </c>
      <c r="E12326" t="inlineStr">
        <is>
          <t>BOLLNÄS</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43175-2024</t>
        </is>
      </c>
      <c r="B12327" s="1" t="n">
        <v>45567</v>
      </c>
      <c r="C12327" s="1" t="n">
        <v>45578</v>
      </c>
      <c r="D12327" t="inlineStr">
        <is>
          <t>GÄVLEBORGS LÄN</t>
        </is>
      </c>
      <c r="E12327" t="inlineStr">
        <is>
          <t>OVANÅKER</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43179-2024</t>
        </is>
      </c>
      <c r="B12328" s="1" t="n">
        <v>45567</v>
      </c>
      <c r="C12328" s="1" t="n">
        <v>45578</v>
      </c>
      <c r="D12328" t="inlineStr">
        <is>
          <t>GÄVLEBORGS LÄN</t>
        </is>
      </c>
      <c r="E12328" t="inlineStr">
        <is>
          <t>LJUSDAL</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43191-2024</t>
        </is>
      </c>
      <c r="B12329" s="1" t="n">
        <v>45567</v>
      </c>
      <c r="C12329" s="1" t="n">
        <v>45578</v>
      </c>
      <c r="D12329" t="inlineStr">
        <is>
          <t>GÄVLEBORGS LÄN</t>
        </is>
      </c>
      <c r="E12329" t="inlineStr">
        <is>
          <t>SÖDERHAMN</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43207-2024</t>
        </is>
      </c>
      <c r="B12330" s="1" t="n">
        <v>45567</v>
      </c>
      <c r="C12330" s="1" t="n">
        <v>45578</v>
      </c>
      <c r="D12330" t="inlineStr">
        <is>
          <t>GÄVLEBORGS LÄN</t>
        </is>
      </c>
      <c r="E12330" t="inlineStr">
        <is>
          <t>SANDVIKEN</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42997-2024</t>
        </is>
      </c>
      <c r="B12331" s="1" t="n">
        <v>45567</v>
      </c>
      <c r="C12331" s="1" t="n">
        <v>45578</v>
      </c>
      <c r="D12331" t="inlineStr">
        <is>
          <t>GÄVLEBORGS LÄN</t>
        </is>
      </c>
      <c r="E12331" t="inlineStr">
        <is>
          <t>LJUSDAL</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43005-2024</t>
        </is>
      </c>
      <c r="B12332" s="1" t="n">
        <v>45567</v>
      </c>
      <c r="C12332" s="1" t="n">
        <v>45578</v>
      </c>
      <c r="D12332" t="inlineStr">
        <is>
          <t>GÄVLEBORGS LÄN</t>
        </is>
      </c>
      <c r="E12332" t="inlineStr">
        <is>
          <t>GÄVLE</t>
        </is>
      </c>
      <c r="F12332" t="inlineStr">
        <is>
          <t>Bergvik skog öst AB</t>
        </is>
      </c>
      <c r="G12332" t="n">
        <v>14.8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43042-2024</t>
        </is>
      </c>
      <c r="B12333" s="1" t="n">
        <v>45567</v>
      </c>
      <c r="C12333" s="1" t="n">
        <v>45578</v>
      </c>
      <c r="D12333" t="inlineStr">
        <is>
          <t>GÄVLEBORGS LÄN</t>
        </is>
      </c>
      <c r="E12333" t="inlineStr">
        <is>
          <t>BOLLNÄS</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43075-2024</t>
        </is>
      </c>
      <c r="B12334" s="1" t="n">
        <v>45567</v>
      </c>
      <c r="C12334" s="1" t="n">
        <v>45578</v>
      </c>
      <c r="D12334" t="inlineStr">
        <is>
          <t>GÄVLEBORGS LÄN</t>
        </is>
      </c>
      <c r="E12334" t="inlineStr">
        <is>
          <t>NORDANSTIG</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43180-2024</t>
        </is>
      </c>
      <c r="B12335" s="1" t="n">
        <v>45567</v>
      </c>
      <c r="C12335" s="1" t="n">
        <v>45578</v>
      </c>
      <c r="D12335" t="inlineStr">
        <is>
          <t>GÄVLEBORGS LÄN</t>
        </is>
      </c>
      <c r="E12335" t="inlineStr">
        <is>
          <t>LJUSDAL</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43216-2024</t>
        </is>
      </c>
      <c r="B12336" s="1" t="n">
        <v>45567</v>
      </c>
      <c r="C12336" s="1" t="n">
        <v>45578</v>
      </c>
      <c r="D12336" t="inlineStr">
        <is>
          <t>GÄVLEBORGS LÄN</t>
        </is>
      </c>
      <c r="E12336" t="inlineStr">
        <is>
          <t>HUDIKSVALL</t>
        </is>
      </c>
      <c r="F12336" t="inlineStr">
        <is>
          <t>Holmen skog AB</t>
        </is>
      </c>
      <c r="G12336" t="n">
        <v>22.4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43250-2024</t>
        </is>
      </c>
      <c r="B12337" s="1" t="n">
        <v>45568</v>
      </c>
      <c r="C12337" s="1" t="n">
        <v>45578</v>
      </c>
      <c r="D12337" t="inlineStr">
        <is>
          <t>GÄVLEBORGS LÄN</t>
        </is>
      </c>
      <c r="E12337" t="inlineStr">
        <is>
          <t>SÖDERHAMN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43438-2024</t>
        </is>
      </c>
      <c r="B12338" s="1" t="n">
        <v>45568</v>
      </c>
      <c r="C12338" s="1" t="n">
        <v>45578</v>
      </c>
      <c r="D12338" t="inlineStr">
        <is>
          <t>GÄVLEBORGS LÄN</t>
        </is>
      </c>
      <c r="E12338" t="inlineStr">
        <is>
          <t>HUDIKSVALL</t>
        </is>
      </c>
      <c r="F12338" t="inlineStr">
        <is>
          <t>Holmen skog AB</t>
        </is>
      </c>
      <c r="G12338" t="n">
        <v>3.9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43458-2024</t>
        </is>
      </c>
      <c r="B12339" s="1" t="n">
        <v>45568</v>
      </c>
      <c r="C12339" s="1" t="n">
        <v>45578</v>
      </c>
      <c r="D12339" t="inlineStr">
        <is>
          <t>GÄVLEBORGS LÄN</t>
        </is>
      </c>
      <c r="E12339" t="inlineStr">
        <is>
          <t>HUDIKSVALL</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43248-2024</t>
        </is>
      </c>
      <c r="B12340" s="1" t="n">
        <v>45568</v>
      </c>
      <c r="C12340" s="1" t="n">
        <v>45578</v>
      </c>
      <c r="D12340" t="inlineStr">
        <is>
          <t>GÄVLEBORGS LÄN</t>
        </is>
      </c>
      <c r="E12340" t="inlineStr">
        <is>
          <t>SÖDERHAMN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43310-2024</t>
        </is>
      </c>
      <c r="B12341" s="1" t="n">
        <v>45568</v>
      </c>
      <c r="C12341" s="1" t="n">
        <v>45578</v>
      </c>
      <c r="D12341" t="inlineStr">
        <is>
          <t>GÄVLEBORGS LÄN</t>
        </is>
      </c>
      <c r="E12341" t="inlineStr">
        <is>
          <t>BOLLNÄS</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43465-2024</t>
        </is>
      </c>
      <c r="B12342" s="1" t="n">
        <v>45568</v>
      </c>
      <c r="C12342" s="1" t="n">
        <v>45578</v>
      </c>
      <c r="D12342" t="inlineStr">
        <is>
          <t>GÄVLEBORGS LÄN</t>
        </is>
      </c>
      <c r="E12342" t="inlineStr">
        <is>
          <t>NORDANSTIG</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43384-2024</t>
        </is>
      </c>
      <c r="B12343" s="1" t="n">
        <v>45568</v>
      </c>
      <c r="C12343" s="1" t="n">
        <v>45578</v>
      </c>
      <c r="D12343" t="inlineStr">
        <is>
          <t>GÄVLEBORGS LÄN</t>
        </is>
      </c>
      <c r="E12343" t="inlineStr">
        <is>
          <t>BOLLNÄS</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43499-2024</t>
        </is>
      </c>
      <c r="B12344" s="1" t="n">
        <v>45569</v>
      </c>
      <c r="C12344" s="1" t="n">
        <v>45578</v>
      </c>
      <c r="D12344" t="inlineStr">
        <is>
          <t>GÄVLEBORGS LÄN</t>
        </is>
      </c>
      <c r="E12344" t="inlineStr">
        <is>
          <t>LJUSDAL</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43503-2024</t>
        </is>
      </c>
      <c r="B12345" s="1" t="n">
        <v>45569</v>
      </c>
      <c r="C12345" s="1" t="n">
        <v>45578</v>
      </c>
      <c r="D12345" t="inlineStr">
        <is>
          <t>GÄVLEBORGS LÄN</t>
        </is>
      </c>
      <c r="E12345" t="inlineStr">
        <is>
          <t>OVANÅKER</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43523-2024</t>
        </is>
      </c>
      <c r="B12346" s="1" t="n">
        <v>45569</v>
      </c>
      <c r="C12346" s="1" t="n">
        <v>45578</v>
      </c>
      <c r="D12346" t="inlineStr">
        <is>
          <t>GÄVLEBORGS LÄN</t>
        </is>
      </c>
      <c r="E12346" t="inlineStr">
        <is>
          <t>NORDANSTIG</t>
        </is>
      </c>
      <c r="F12346" t="inlineStr">
        <is>
          <t>Holmen skog AB</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43544-2024</t>
        </is>
      </c>
      <c r="B12347" s="1" t="n">
        <v>45569</v>
      </c>
      <c r="C12347" s="1" t="n">
        <v>45578</v>
      </c>
      <c r="D12347" t="inlineStr">
        <is>
          <t>GÄVLEBORGS LÄN</t>
        </is>
      </c>
      <c r="E12347" t="inlineStr">
        <is>
          <t>OVANÅKER</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43504-2024</t>
        </is>
      </c>
      <c r="B12348" s="1" t="n">
        <v>45569</v>
      </c>
      <c r="C12348" s="1" t="n">
        <v>45578</v>
      </c>
      <c r="D12348" t="inlineStr">
        <is>
          <t>GÄVLEBORGS LÄN</t>
        </is>
      </c>
      <c r="E12348" t="inlineStr">
        <is>
          <t>OVANÅKER</t>
        </is>
      </c>
      <c r="G12348" t="n">
        <v>6.5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43580-2024</t>
        </is>
      </c>
      <c r="B12349" s="1" t="n">
        <v>45569</v>
      </c>
      <c r="C12349" s="1" t="n">
        <v>45578</v>
      </c>
      <c r="D12349" t="inlineStr">
        <is>
          <t>GÄVLEBORGS LÄN</t>
        </is>
      </c>
      <c r="E12349" t="inlineStr">
        <is>
          <t>LJUSDAL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43598-2024</t>
        </is>
      </c>
      <c r="B12350" s="1" t="n">
        <v>45569</v>
      </c>
      <c r="C12350" s="1" t="n">
        <v>45578</v>
      </c>
      <c r="D12350" t="inlineStr">
        <is>
          <t>GÄVLEBORGS LÄN</t>
        </is>
      </c>
      <c r="E12350" t="inlineStr">
        <is>
          <t>HUDIKSVALL</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43644-2024</t>
        </is>
      </c>
      <c r="B12351" s="1" t="n">
        <v>45569</v>
      </c>
      <c r="C12351" s="1" t="n">
        <v>45578</v>
      </c>
      <c r="D12351" t="inlineStr">
        <is>
          <t>GÄVLEBORGS LÄN</t>
        </is>
      </c>
      <c r="E12351" t="inlineStr">
        <is>
          <t>HUDIKSVALL</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43652-2024</t>
        </is>
      </c>
      <c r="B12352" s="1" t="n">
        <v>45569</v>
      </c>
      <c r="C12352" s="1" t="n">
        <v>45578</v>
      </c>
      <c r="D12352" t="inlineStr">
        <is>
          <t>GÄVLEBORGS LÄN</t>
        </is>
      </c>
      <c r="E12352" t="inlineStr">
        <is>
          <t>GÄVLE</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43668-2024</t>
        </is>
      </c>
      <c r="B12353" s="1" t="n">
        <v>45569</v>
      </c>
      <c r="C12353" s="1" t="n">
        <v>45578</v>
      </c>
      <c r="D12353" t="inlineStr">
        <is>
          <t>GÄVLEBORGS LÄN</t>
        </is>
      </c>
      <c r="E12353" t="inlineStr">
        <is>
          <t>LJUSDAL</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43682-2024</t>
        </is>
      </c>
      <c r="B12354" s="1" t="n">
        <v>45569</v>
      </c>
      <c r="C12354" s="1" t="n">
        <v>45578</v>
      </c>
      <c r="D12354" t="inlineStr">
        <is>
          <t>GÄVLEBORGS LÄN</t>
        </is>
      </c>
      <c r="E12354" t="inlineStr">
        <is>
          <t>SÖDERHAMN</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43686-2024</t>
        </is>
      </c>
      <c r="B12355" s="1" t="n">
        <v>45569</v>
      </c>
      <c r="C12355" s="1" t="n">
        <v>45578</v>
      </c>
      <c r="D12355" t="inlineStr">
        <is>
          <t>GÄVLEBORGS LÄN</t>
        </is>
      </c>
      <c r="E12355" t="inlineStr">
        <is>
          <t>GÄVLE</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43661-2024</t>
        </is>
      </c>
      <c r="B12356" s="1" t="n">
        <v>45569</v>
      </c>
      <c r="C12356" s="1" t="n">
        <v>45578</v>
      </c>
      <c r="D12356" t="inlineStr">
        <is>
          <t>GÄVLEBORGS LÄN</t>
        </is>
      </c>
      <c r="E12356" t="inlineStr">
        <is>
          <t>GÄVLE</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43665-2024</t>
        </is>
      </c>
      <c r="B12357" s="1" t="n">
        <v>45569</v>
      </c>
      <c r="C12357" s="1" t="n">
        <v>45578</v>
      </c>
      <c r="D12357" t="inlineStr">
        <is>
          <t>GÄVLEBORGS LÄN</t>
        </is>
      </c>
      <c r="E12357" t="inlineStr">
        <is>
          <t>HUDIKSVALL</t>
        </is>
      </c>
      <c r="F12357" t="inlineStr">
        <is>
          <t>Kommuner</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43695-2024</t>
        </is>
      </c>
      <c r="B12358" s="1" t="n">
        <v>45569</v>
      </c>
      <c r="C12358" s="1" t="n">
        <v>45578</v>
      </c>
      <c r="D12358" t="inlineStr">
        <is>
          <t>GÄVLEBORGS LÄN</t>
        </is>
      </c>
      <c r="E12358" t="inlineStr">
        <is>
          <t>LJUSDAL</t>
        </is>
      </c>
      <c r="G12358" t="n">
        <v>14.7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43501-2024</t>
        </is>
      </c>
      <c r="B12359" s="1" t="n">
        <v>45569</v>
      </c>
      <c r="C12359" s="1" t="n">
        <v>45578</v>
      </c>
      <c r="D12359" t="inlineStr">
        <is>
          <t>GÄVLEBORGS LÄN</t>
        </is>
      </c>
      <c r="E12359" t="inlineStr">
        <is>
          <t>HUDIKSVALL</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43521-2024</t>
        </is>
      </c>
      <c r="B12360" s="1" t="n">
        <v>45569</v>
      </c>
      <c r="C12360" s="1" t="n">
        <v>45578</v>
      </c>
      <c r="D12360" t="inlineStr">
        <is>
          <t>GÄVLEBORGS LÄN</t>
        </is>
      </c>
      <c r="E12360" t="inlineStr">
        <is>
          <t>OVANÅKER</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43534-2024</t>
        </is>
      </c>
      <c r="B12361" s="1" t="n">
        <v>45569</v>
      </c>
      <c r="C12361" s="1" t="n">
        <v>45578</v>
      </c>
      <c r="D12361" t="inlineStr">
        <is>
          <t>GÄVLEBORGS LÄN</t>
        </is>
      </c>
      <c r="E12361" t="inlineStr">
        <is>
          <t>SÖDERHAMN</t>
        </is>
      </c>
      <c r="F12361" t="inlineStr">
        <is>
          <t>Kommuner</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43542-2024</t>
        </is>
      </c>
      <c r="B12362" s="1" t="n">
        <v>45569</v>
      </c>
      <c r="C12362" s="1" t="n">
        <v>45578</v>
      </c>
      <c r="D12362" t="inlineStr">
        <is>
          <t>GÄVLEBORGS LÄN</t>
        </is>
      </c>
      <c r="E12362" t="inlineStr">
        <is>
          <t>OVANÅKER</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43547-2024</t>
        </is>
      </c>
      <c r="B12363" s="1" t="n">
        <v>45569</v>
      </c>
      <c r="C12363" s="1" t="n">
        <v>45578</v>
      </c>
      <c r="D12363" t="inlineStr">
        <is>
          <t>GÄVLEBORGS LÄN</t>
        </is>
      </c>
      <c r="E12363" t="inlineStr">
        <is>
          <t>OVANÅKER</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43625-2024</t>
        </is>
      </c>
      <c r="B12364" s="1" t="n">
        <v>45569</v>
      </c>
      <c r="C12364" s="1" t="n">
        <v>45578</v>
      </c>
      <c r="D12364" t="inlineStr">
        <is>
          <t>GÄVLEBORGS LÄN</t>
        </is>
      </c>
      <c r="E12364" t="inlineStr">
        <is>
          <t>HUDIKSVALL</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43629-2024</t>
        </is>
      </c>
      <c r="B12365" s="1" t="n">
        <v>45569</v>
      </c>
      <c r="C12365" s="1" t="n">
        <v>45578</v>
      </c>
      <c r="D12365" t="inlineStr">
        <is>
          <t>GÄVLEBORGS LÄN</t>
        </is>
      </c>
      <c r="E12365" t="inlineStr">
        <is>
          <t>HUDIKSVALL</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43646-2024</t>
        </is>
      </c>
      <c r="B12366" s="1" t="n">
        <v>45569</v>
      </c>
      <c r="C12366" s="1" t="n">
        <v>45578</v>
      </c>
      <c r="D12366" t="inlineStr">
        <is>
          <t>GÄVLEBORGS LÄN</t>
        </is>
      </c>
      <c r="E12366" t="inlineStr">
        <is>
          <t>HUDIKSVALL</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43498-2024</t>
        </is>
      </c>
      <c r="B12367" s="1" t="n">
        <v>45569</v>
      </c>
      <c r="C12367" s="1" t="n">
        <v>45578</v>
      </c>
      <c r="D12367" t="inlineStr">
        <is>
          <t>GÄVLEBORGS LÄN</t>
        </is>
      </c>
      <c r="E12367" t="inlineStr">
        <is>
          <t>OVANÅKER</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43562-2024</t>
        </is>
      </c>
      <c r="B12368" s="1" t="n">
        <v>45569</v>
      </c>
      <c r="C12368" s="1" t="n">
        <v>45578</v>
      </c>
      <c r="D12368" t="inlineStr">
        <is>
          <t>GÄVLEBORGS LÄN</t>
        </is>
      </c>
      <c r="E12368" t="inlineStr">
        <is>
          <t>LJUSDAL</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43647-2024</t>
        </is>
      </c>
      <c r="B12369" s="1" t="n">
        <v>45569</v>
      </c>
      <c r="C12369" s="1" t="n">
        <v>45578</v>
      </c>
      <c r="D12369" t="inlineStr">
        <is>
          <t>GÄVLEBORGS LÄN</t>
        </is>
      </c>
      <c r="E12369" t="inlineStr">
        <is>
          <t>HUDIKSVALL</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43764-2024</t>
        </is>
      </c>
      <c r="B12370" s="1" t="n">
        <v>45569</v>
      </c>
      <c r="C12370" s="1" t="n">
        <v>45578</v>
      </c>
      <c r="D12370" t="inlineStr">
        <is>
          <t>GÄVLEBORGS LÄN</t>
        </is>
      </c>
      <c r="E12370" t="inlineStr">
        <is>
          <t>SANDVIKEN</t>
        </is>
      </c>
      <c r="G12370" t="n">
        <v>4.5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43834-2024</t>
        </is>
      </c>
      <c r="B12371" s="1" t="n">
        <v>45572</v>
      </c>
      <c r="C12371" s="1" t="n">
        <v>45578</v>
      </c>
      <c r="D12371" t="inlineStr">
        <is>
          <t>GÄVLEBORGS LÄN</t>
        </is>
      </c>
      <c r="E12371" t="inlineStr">
        <is>
          <t>BOLLNÄS</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43979-2024</t>
        </is>
      </c>
      <c r="B12372" s="1" t="n">
        <v>45572</v>
      </c>
      <c r="C12372" s="1" t="n">
        <v>45578</v>
      </c>
      <c r="D12372" t="inlineStr">
        <is>
          <t>GÄVLEBORGS LÄN</t>
        </is>
      </c>
      <c r="E12372" t="inlineStr">
        <is>
          <t>SÖDERHAMN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43983-2024</t>
        </is>
      </c>
      <c r="B12373" s="1" t="n">
        <v>45572</v>
      </c>
      <c r="C12373" s="1" t="n">
        <v>45578</v>
      </c>
      <c r="D12373" t="inlineStr">
        <is>
          <t>GÄVLEBORGS LÄN</t>
        </is>
      </c>
      <c r="E12373" t="inlineStr">
        <is>
          <t>LJUSDAL</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43991-2024</t>
        </is>
      </c>
      <c r="B12374" s="1" t="n">
        <v>45572</v>
      </c>
      <c r="C12374" s="1" t="n">
        <v>45578</v>
      </c>
      <c r="D12374" t="inlineStr">
        <is>
          <t>GÄVLEBORGS LÄN</t>
        </is>
      </c>
      <c r="E12374" t="inlineStr">
        <is>
          <t>OVANÅKER</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43986-2024</t>
        </is>
      </c>
      <c r="B12375" s="1" t="n">
        <v>45572</v>
      </c>
      <c r="C12375" s="1" t="n">
        <v>45578</v>
      </c>
      <c r="D12375" t="inlineStr">
        <is>
          <t>GÄVLEBORGS LÄN</t>
        </is>
      </c>
      <c r="E12375" t="inlineStr">
        <is>
          <t>SÖDERHAMN</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44053-2024</t>
        </is>
      </c>
      <c r="B12376" s="1" t="n">
        <v>45572</v>
      </c>
      <c r="C12376" s="1" t="n">
        <v>45578</v>
      </c>
      <c r="D12376" t="inlineStr">
        <is>
          <t>GÄVLEBORGS LÄN</t>
        </is>
      </c>
      <c r="E12376" t="inlineStr">
        <is>
          <t>HUDIKSVALL</t>
        </is>
      </c>
      <c r="F12376" t="inlineStr">
        <is>
          <t>Holmen skog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44092-2024</t>
        </is>
      </c>
      <c r="B12377" s="1" t="n">
        <v>45572</v>
      </c>
      <c r="C12377" s="1" t="n">
        <v>45578</v>
      </c>
      <c r="D12377" t="inlineStr">
        <is>
          <t>GÄVLEBORGS LÄN</t>
        </is>
      </c>
      <c r="E12377" t="inlineStr">
        <is>
          <t>LJUSDAL</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44180-2024</t>
        </is>
      </c>
      <c r="B12378" s="1" t="n">
        <v>45572</v>
      </c>
      <c r="C12378" s="1" t="n">
        <v>45578</v>
      </c>
      <c r="D12378" t="inlineStr">
        <is>
          <t>GÄVLEBORGS LÄN</t>
        </is>
      </c>
      <c r="E12378" t="inlineStr">
        <is>
          <t>BOLLNÄS</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43996-2024</t>
        </is>
      </c>
      <c r="B12379" s="1" t="n">
        <v>45572</v>
      </c>
      <c r="C12379" s="1" t="n">
        <v>45578</v>
      </c>
      <c r="D12379" t="inlineStr">
        <is>
          <t>GÄVLEBORGS LÄN</t>
        </is>
      </c>
      <c r="E12379" t="inlineStr">
        <is>
          <t>BOLLNÄS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44037-2024</t>
        </is>
      </c>
      <c r="B12380" s="1" t="n">
        <v>45572</v>
      </c>
      <c r="C12380" s="1" t="n">
        <v>45578</v>
      </c>
      <c r="D12380" t="inlineStr">
        <is>
          <t>GÄVLEBORGS LÄN</t>
        </is>
      </c>
      <c r="E12380" t="inlineStr">
        <is>
          <t>HUDIKSVALL</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44179-2024</t>
        </is>
      </c>
      <c r="B12381" s="1" t="n">
        <v>45572</v>
      </c>
      <c r="C12381" s="1" t="n">
        <v>45578</v>
      </c>
      <c r="D12381" t="inlineStr">
        <is>
          <t>GÄVLEBORGS LÄN</t>
        </is>
      </c>
      <c r="E12381" t="inlineStr">
        <is>
          <t>BOLLNÄS</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44227-2024</t>
        </is>
      </c>
      <c r="B12382" s="1" t="n">
        <v>45573</v>
      </c>
      <c r="C12382" s="1" t="n">
        <v>45578</v>
      </c>
      <c r="D12382" t="inlineStr">
        <is>
          <t>GÄVLEBORGS LÄN</t>
        </is>
      </c>
      <c r="E12382" t="inlineStr">
        <is>
          <t>HUDIKSVALL</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44231-2024</t>
        </is>
      </c>
      <c r="B12383" s="1" t="n">
        <v>45573</v>
      </c>
      <c r="C12383" s="1" t="n">
        <v>45578</v>
      </c>
      <c r="D12383" t="inlineStr">
        <is>
          <t>GÄVLEBORGS LÄN</t>
        </is>
      </c>
      <c r="E12383" t="inlineStr">
        <is>
          <t>HUDIKSVALL</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44229-2024</t>
        </is>
      </c>
      <c r="B12384" s="1" t="n">
        <v>45573</v>
      </c>
      <c r="C12384" s="1" t="n">
        <v>45578</v>
      </c>
      <c r="D12384" t="inlineStr">
        <is>
          <t>GÄVLEBORGS LÄN</t>
        </is>
      </c>
      <c r="E12384" t="inlineStr">
        <is>
          <t>HUDIKSVALL</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44234-2024</t>
        </is>
      </c>
      <c r="B12385" s="1" t="n">
        <v>45573</v>
      </c>
      <c r="C12385" s="1" t="n">
        <v>45578</v>
      </c>
      <c r="D12385" t="inlineStr">
        <is>
          <t>GÄVLEBORGS LÄN</t>
        </is>
      </c>
      <c r="E12385" t="inlineStr">
        <is>
          <t>HUDIKSVALL</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44277-2024</t>
        </is>
      </c>
      <c r="B12386" s="1" t="n">
        <v>45573</v>
      </c>
      <c r="C12386" s="1" t="n">
        <v>45578</v>
      </c>
      <c r="D12386" t="inlineStr">
        <is>
          <t>GÄVLEBORGS LÄN</t>
        </is>
      </c>
      <c r="E12386" t="inlineStr">
        <is>
          <t>HUDIKSVALL</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44208-2024</t>
        </is>
      </c>
      <c r="B12387" s="1" t="n">
        <v>45573</v>
      </c>
      <c r="C12387" s="1" t="n">
        <v>45578</v>
      </c>
      <c r="D12387" t="inlineStr">
        <is>
          <t>GÄVLEBORGS LÄN</t>
        </is>
      </c>
      <c r="E12387" t="inlineStr">
        <is>
          <t>OVANÅKER</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44339-2024</t>
        </is>
      </c>
      <c r="B12388" s="1" t="n">
        <v>45573</v>
      </c>
      <c r="C12388" s="1" t="n">
        <v>45578</v>
      </c>
      <c r="D12388" t="inlineStr">
        <is>
          <t>GÄVLEBORGS LÄN</t>
        </is>
      </c>
      <c r="E12388" t="inlineStr">
        <is>
          <t>NORDANSTIG</t>
        </is>
      </c>
      <c r="G12388" t="n">
        <v>10.7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44344-2024</t>
        </is>
      </c>
      <c r="B12389" s="1" t="n">
        <v>45573</v>
      </c>
      <c r="C12389" s="1" t="n">
        <v>45578</v>
      </c>
      <c r="D12389" t="inlineStr">
        <is>
          <t>GÄVLEBORGS LÄN</t>
        </is>
      </c>
      <c r="E12389" t="inlineStr">
        <is>
          <t>BOLLNÄS</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44350-2024</t>
        </is>
      </c>
      <c r="B12390" s="1" t="n">
        <v>45573</v>
      </c>
      <c r="C12390" s="1" t="n">
        <v>45578</v>
      </c>
      <c r="D12390" t="inlineStr">
        <is>
          <t>GÄVLEBORGS LÄN</t>
        </is>
      </c>
      <c r="E12390" t="inlineStr">
        <is>
          <t>SANDVIKEN</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44337-2024</t>
        </is>
      </c>
      <c r="B12391" s="1" t="n">
        <v>45573</v>
      </c>
      <c r="C12391" s="1" t="n">
        <v>45578</v>
      </c>
      <c r="D12391" t="inlineStr">
        <is>
          <t>GÄVLEBORGS LÄN</t>
        </is>
      </c>
      <c r="E12391" t="inlineStr">
        <is>
          <t>BOLLNÄS</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44377-2024</t>
        </is>
      </c>
      <c r="B12392" s="1" t="n">
        <v>45573</v>
      </c>
      <c r="C12392" s="1" t="n">
        <v>45578</v>
      </c>
      <c r="D12392" t="inlineStr">
        <is>
          <t>GÄVLEBORGS LÄN</t>
        </is>
      </c>
      <c r="E12392" t="inlineStr">
        <is>
          <t>NORDANSTIG</t>
        </is>
      </c>
      <c r="F12392" t="inlineStr">
        <is>
          <t>Holmen skog AB</t>
        </is>
      </c>
      <c r="G12392" t="n">
        <v>6.2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44418-2024</t>
        </is>
      </c>
      <c r="B12393" s="1" t="n">
        <v>45573</v>
      </c>
      <c r="C12393" s="1" t="n">
        <v>45578</v>
      </c>
      <c r="D12393" t="inlineStr">
        <is>
          <t>GÄVLEBORGS LÄN</t>
        </is>
      </c>
      <c r="E12393" t="inlineStr">
        <is>
          <t>OVANÅKER</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44432-2024</t>
        </is>
      </c>
      <c r="B12394" s="1" t="n">
        <v>45574</v>
      </c>
      <c r="C12394" s="1" t="n">
        <v>45578</v>
      </c>
      <c r="D12394" t="inlineStr">
        <is>
          <t>GÄVLEBORGS LÄN</t>
        </is>
      </c>
      <c r="E12394" t="inlineStr">
        <is>
          <t>BOLLNÄS</t>
        </is>
      </c>
      <c r="F12394" t="inlineStr">
        <is>
          <t>Bergvik skog väst AB</t>
        </is>
      </c>
      <c r="G12394" t="n">
        <v>8.1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44436-2024</t>
        </is>
      </c>
      <c r="B12395" s="1" t="n">
        <v>45574</v>
      </c>
      <c r="C12395" s="1" t="n">
        <v>45578</v>
      </c>
      <c r="D12395" t="inlineStr">
        <is>
          <t>GÄVLEBORGS LÄN</t>
        </is>
      </c>
      <c r="E12395" t="inlineStr">
        <is>
          <t>NORDANSTIG</t>
        </is>
      </c>
      <c r="G12395" t="n">
        <v>8.4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44434-2024</t>
        </is>
      </c>
      <c r="B12396" s="1" t="n">
        <v>45574</v>
      </c>
      <c r="C12396" s="1" t="n">
        <v>45578</v>
      </c>
      <c r="D12396" t="inlineStr">
        <is>
          <t>GÄVLEBORGS LÄN</t>
        </is>
      </c>
      <c r="E12396" t="inlineStr">
        <is>
          <t>GÄVLE</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44439-2024</t>
        </is>
      </c>
      <c r="B12397" s="1" t="n">
        <v>45574</v>
      </c>
      <c r="C12397" s="1" t="n">
        <v>45578</v>
      </c>
      <c r="D12397" t="inlineStr">
        <is>
          <t>GÄVLEBORGS LÄN</t>
        </is>
      </c>
      <c r="E12397" t="inlineStr">
        <is>
          <t>OVANÅKER</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44451-2024</t>
        </is>
      </c>
      <c r="B12398" s="1" t="n">
        <v>45574</v>
      </c>
      <c r="C12398" s="1" t="n">
        <v>45578</v>
      </c>
      <c r="D12398" t="inlineStr">
        <is>
          <t>GÄVLEBORGS LÄN</t>
        </is>
      </c>
      <c r="E12398" t="inlineStr">
        <is>
          <t>LJUSDAL</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44457-2024</t>
        </is>
      </c>
      <c r="B12399" s="1" t="n">
        <v>45574</v>
      </c>
      <c r="C12399" s="1" t="n">
        <v>45578</v>
      </c>
      <c r="D12399" t="inlineStr">
        <is>
          <t>GÄVLEBORGS LÄN</t>
        </is>
      </c>
      <c r="E12399" t="inlineStr">
        <is>
          <t>OCKELBO</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44463-2024</t>
        </is>
      </c>
      <c r="B12400" s="1" t="n">
        <v>45574</v>
      </c>
      <c r="C12400" s="1" t="n">
        <v>45578</v>
      </c>
      <c r="D12400" t="inlineStr">
        <is>
          <t>GÄVLEBORGS LÄN</t>
        </is>
      </c>
      <c r="E12400" t="inlineStr">
        <is>
          <t>HUDIKSVALL</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44474-2024</t>
        </is>
      </c>
      <c r="B12401" s="1" t="n">
        <v>45574</v>
      </c>
      <c r="C12401" s="1" t="n">
        <v>45578</v>
      </c>
      <c r="D12401" t="inlineStr">
        <is>
          <t>GÄVLEBORGS LÄN</t>
        </is>
      </c>
      <c r="E12401" t="inlineStr">
        <is>
          <t>OVANÅKER</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44486-2024</t>
        </is>
      </c>
      <c r="B12402" s="1" t="n">
        <v>45574</v>
      </c>
      <c r="C12402" s="1" t="n">
        <v>45578</v>
      </c>
      <c r="D12402" t="inlineStr">
        <is>
          <t>GÄVLEBORGS LÄN</t>
        </is>
      </c>
      <c r="E12402" t="inlineStr">
        <is>
          <t>SANDVIKEN</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44506-2024</t>
        </is>
      </c>
      <c r="B12403" s="1" t="n">
        <v>45574</v>
      </c>
      <c r="C12403" s="1" t="n">
        <v>45578</v>
      </c>
      <c r="D12403" t="inlineStr">
        <is>
          <t>GÄVLEBORGS LÄN</t>
        </is>
      </c>
      <c r="E12403" t="inlineStr">
        <is>
          <t>OVANÅKER</t>
        </is>
      </c>
      <c r="F12403" t="inlineStr">
        <is>
          <t>Kyrkan</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44556-2024</t>
        </is>
      </c>
      <c r="B12404" s="1" t="n">
        <v>45574</v>
      </c>
      <c r="C12404" s="1" t="n">
        <v>45578</v>
      </c>
      <c r="D12404" t="inlineStr">
        <is>
          <t>GÄVLEBORGS LÄN</t>
        </is>
      </c>
      <c r="E12404" t="inlineStr">
        <is>
          <t>GÄVLE</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44580-2024</t>
        </is>
      </c>
      <c r="B12405" s="1" t="n">
        <v>45574</v>
      </c>
      <c r="C12405" s="1" t="n">
        <v>45578</v>
      </c>
      <c r="D12405" t="inlineStr">
        <is>
          <t>GÄVLEBORGS LÄN</t>
        </is>
      </c>
      <c r="E12405" t="inlineStr">
        <is>
          <t>BOLLNÄS</t>
        </is>
      </c>
      <c r="F12405" t="inlineStr">
        <is>
          <t>Bergvik skog väst AB</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44440-2024</t>
        </is>
      </c>
      <c r="B12406" s="1" t="n">
        <v>45574</v>
      </c>
      <c r="C12406" s="1" t="n">
        <v>45578</v>
      </c>
      <c r="D12406" t="inlineStr">
        <is>
          <t>GÄVLEBORGS LÄN</t>
        </is>
      </c>
      <c r="E12406" t="inlineStr">
        <is>
          <t>OVANÅKER</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44456-2024</t>
        </is>
      </c>
      <c r="B12407" s="1" t="n">
        <v>45574</v>
      </c>
      <c r="C12407" s="1" t="n">
        <v>45578</v>
      </c>
      <c r="D12407" t="inlineStr">
        <is>
          <t>GÄVLEBORGS LÄN</t>
        </is>
      </c>
      <c r="E12407" t="inlineStr">
        <is>
          <t>BOLLNÄS</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44790-2024</t>
        </is>
      </c>
      <c r="B12408" s="1" t="n">
        <v>45574</v>
      </c>
      <c r="C12408" s="1" t="n">
        <v>45578</v>
      </c>
      <c r="D12408" t="inlineStr">
        <is>
          <t>GÄVLEBORGS LÄN</t>
        </is>
      </c>
      <c r="E12408" t="inlineStr">
        <is>
          <t>GÄVLE</t>
        </is>
      </c>
      <c r="F12408" t="inlineStr">
        <is>
          <t>Bergvik skog öst AB</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44496-2024</t>
        </is>
      </c>
      <c r="B12409" s="1" t="n">
        <v>45574</v>
      </c>
      <c r="C12409" s="1" t="n">
        <v>45578</v>
      </c>
      <c r="D12409" t="inlineStr">
        <is>
          <t>GÄVLEBORGS LÄN</t>
        </is>
      </c>
      <c r="E12409" t="inlineStr">
        <is>
          <t>HUDIKSVALL</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44500-2024</t>
        </is>
      </c>
      <c r="B12410" s="1" t="n">
        <v>45574</v>
      </c>
      <c r="C12410" s="1" t="n">
        <v>45578</v>
      </c>
      <c r="D12410" t="inlineStr">
        <is>
          <t>GÄVLEBORGS LÄN</t>
        </is>
      </c>
      <c r="E12410" t="inlineStr">
        <is>
          <t>NORDANSTIG</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44549-2024</t>
        </is>
      </c>
      <c r="B12411" s="1" t="n">
        <v>45574</v>
      </c>
      <c r="C12411" s="1" t="n">
        <v>45578</v>
      </c>
      <c r="D12411" t="inlineStr">
        <is>
          <t>GÄVLEBORGS LÄN</t>
        </is>
      </c>
      <c r="E12411" t="inlineStr">
        <is>
          <t>HUDIKSVALL</t>
        </is>
      </c>
      <c r="F12411" t="inlineStr">
        <is>
          <t>Holmen skog AB</t>
        </is>
      </c>
      <c r="G12411" t="n">
        <v>30.9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44473-2024</t>
        </is>
      </c>
      <c r="B12412" s="1" t="n">
        <v>45574</v>
      </c>
      <c r="C12412" s="1" t="n">
        <v>45578</v>
      </c>
      <c r="D12412" t="inlineStr">
        <is>
          <t>GÄVLEBORGS LÄN</t>
        </is>
      </c>
      <c r="E12412" t="inlineStr">
        <is>
          <t>OVANÅKER</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44497-2024</t>
        </is>
      </c>
      <c r="B12413" s="1" t="n">
        <v>45574</v>
      </c>
      <c r="C12413" s="1" t="n">
        <v>45578</v>
      </c>
      <c r="D12413" t="inlineStr">
        <is>
          <t>GÄVLEBORGS LÄN</t>
        </is>
      </c>
      <c r="E12413" t="inlineStr">
        <is>
          <t>HUDIKSVALL</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44571-2024</t>
        </is>
      </c>
      <c r="B12414" s="1" t="n">
        <v>45574</v>
      </c>
      <c r="C12414" s="1" t="n">
        <v>45578</v>
      </c>
      <c r="D12414" t="inlineStr">
        <is>
          <t>GÄVLEBORGS LÄN</t>
        </is>
      </c>
      <c r="E12414" t="inlineStr">
        <is>
          <t>OVANÅKER</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44575-2024</t>
        </is>
      </c>
      <c r="B12415" s="1" t="n">
        <v>45574</v>
      </c>
      <c r="C12415" s="1" t="n">
        <v>45578</v>
      </c>
      <c r="D12415" t="inlineStr">
        <is>
          <t>GÄVLEBORGS LÄN</t>
        </is>
      </c>
      <c r="E12415" t="inlineStr">
        <is>
          <t>OVANÅKER</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44682-2024</t>
        </is>
      </c>
      <c r="B12416" s="1" t="n">
        <v>45574</v>
      </c>
      <c r="C12416" s="1" t="n">
        <v>45578</v>
      </c>
      <c r="D12416" t="inlineStr">
        <is>
          <t>GÄVLEBORGS LÄN</t>
        </is>
      </c>
      <c r="E12416" t="inlineStr">
        <is>
          <t>BOLLNÄS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44687-2024</t>
        </is>
      </c>
      <c r="B12417" s="1" t="n">
        <v>45574</v>
      </c>
      <c r="C12417" s="1" t="n">
        <v>45578</v>
      </c>
      <c r="D12417" t="inlineStr">
        <is>
          <t>GÄVLEBORGS LÄN</t>
        </is>
      </c>
      <c r="E12417" t="inlineStr">
        <is>
          <t>HUDIKSVALL</t>
        </is>
      </c>
      <c r="G12417" t="n">
        <v>17.3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44695-2024</t>
        </is>
      </c>
      <c r="B12418" s="1" t="n">
        <v>45574</v>
      </c>
      <c r="C12418" s="1" t="n">
        <v>45578</v>
      </c>
      <c r="D12418" t="inlineStr">
        <is>
          <t>GÄVLEBORGS LÄN</t>
        </is>
      </c>
      <c r="E12418" t="inlineStr">
        <is>
          <t>LJUSDAL</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44703-2024</t>
        </is>
      </c>
      <c r="B12419" s="1" t="n">
        <v>45574</v>
      </c>
      <c r="C12419" s="1" t="n">
        <v>45578</v>
      </c>
      <c r="D12419" t="inlineStr">
        <is>
          <t>GÄVLEBORGS LÄN</t>
        </is>
      </c>
      <c r="E12419" t="inlineStr">
        <is>
          <t>SÖDERHAMN</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44736-2024</t>
        </is>
      </c>
      <c r="B12420" s="1" t="n">
        <v>45574</v>
      </c>
      <c r="C12420" s="1" t="n">
        <v>45578</v>
      </c>
      <c r="D12420" t="inlineStr">
        <is>
          <t>GÄVLEBORGS LÄN</t>
        </is>
      </c>
      <c r="E12420" t="inlineStr">
        <is>
          <t>HUDIKSVALL</t>
        </is>
      </c>
      <c r="G12420" t="n">
        <v>43.7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44688-2024</t>
        </is>
      </c>
      <c r="B12421" s="1" t="n">
        <v>45574</v>
      </c>
      <c r="C12421" s="1" t="n">
        <v>45578</v>
      </c>
      <c r="D12421" t="inlineStr">
        <is>
          <t>GÄVLEBORGS LÄN</t>
        </is>
      </c>
      <c r="E12421" t="inlineStr">
        <is>
          <t>HUDIKSVALL</t>
        </is>
      </c>
      <c r="G12421" t="n">
        <v>66.59999999999999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44720-2024</t>
        </is>
      </c>
      <c r="B12422" s="1" t="n">
        <v>45574</v>
      </c>
      <c r="C12422" s="1" t="n">
        <v>45578</v>
      </c>
      <c r="D12422" t="inlineStr">
        <is>
          <t>GÄVLEBORGS LÄN</t>
        </is>
      </c>
      <c r="E12422" t="inlineStr">
        <is>
          <t>HUDIKSVALL</t>
        </is>
      </c>
      <c r="F12422" t="inlineStr">
        <is>
          <t>Holmen skog AB</t>
        </is>
      </c>
      <c r="G12422" t="n">
        <v>9.1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44749-2024</t>
        </is>
      </c>
      <c r="B12423" s="1" t="n">
        <v>45574</v>
      </c>
      <c r="C12423" s="1" t="n">
        <v>45578</v>
      </c>
      <c r="D12423" t="inlineStr">
        <is>
          <t>GÄVLEBORGS LÄN</t>
        </is>
      </c>
      <c r="E12423" t="inlineStr">
        <is>
          <t>HUDIKSVALL</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44802-2024</t>
        </is>
      </c>
      <c r="B12424" s="1" t="n">
        <v>45574</v>
      </c>
      <c r="C12424" s="1" t="n">
        <v>45578</v>
      </c>
      <c r="D12424" t="inlineStr">
        <is>
          <t>GÄVLEBORGS LÄN</t>
        </is>
      </c>
      <c r="E12424" t="inlineStr">
        <is>
          <t>GÄVLE</t>
        </is>
      </c>
      <c r="F12424" t="inlineStr">
        <is>
          <t>Bergvik skog öst AB</t>
        </is>
      </c>
      <c r="G12424" t="n">
        <v>5.4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44806-2024</t>
        </is>
      </c>
      <c r="B12425" s="1" t="n">
        <v>45574</v>
      </c>
      <c r="C12425" s="1" t="n">
        <v>45578</v>
      </c>
      <c r="D12425" t="inlineStr">
        <is>
          <t>GÄVLEBORGS LÄN</t>
        </is>
      </c>
      <c r="E12425" t="inlineStr">
        <is>
          <t>GÄVLE</t>
        </is>
      </c>
      <c r="F12425" t="inlineStr">
        <is>
          <t>Bergvik skog öst AB</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44843-2024</t>
        </is>
      </c>
      <c r="B12426" s="1" t="n">
        <v>45574</v>
      </c>
      <c r="C12426" s="1" t="n">
        <v>45578</v>
      </c>
      <c r="D12426" t="inlineStr">
        <is>
          <t>GÄVLEBORGS LÄN</t>
        </is>
      </c>
      <c r="E12426" t="inlineStr">
        <is>
          <t>GÄVLE</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44826-2024</t>
        </is>
      </c>
      <c r="B12427" s="1" t="n">
        <v>45574</v>
      </c>
      <c r="C12427" s="1" t="n">
        <v>45578</v>
      </c>
      <c r="D12427" t="inlineStr">
        <is>
          <t>GÄVLEBORGS LÄN</t>
        </is>
      </c>
      <c r="E12427" t="inlineStr">
        <is>
          <t>NORDANSTIG</t>
        </is>
      </c>
      <c r="F12427" t="inlineStr">
        <is>
          <t>Holmen skog AB</t>
        </is>
      </c>
      <c r="G12427" t="n">
        <v>15.3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44487-2024</t>
        </is>
      </c>
      <c r="B12428" s="1" t="n">
        <v>45574</v>
      </c>
      <c r="C12428" s="1" t="n">
        <v>45578</v>
      </c>
      <c r="D12428" t="inlineStr">
        <is>
          <t>GÄVLEBORGS LÄN</t>
        </is>
      </c>
      <c r="E12428" t="inlineStr">
        <is>
          <t>BOLLNÄS</t>
        </is>
      </c>
      <c r="F12428" t="inlineStr">
        <is>
          <t>Kyrkan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44577-2024</t>
        </is>
      </c>
      <c r="B12429" s="1" t="n">
        <v>45574</v>
      </c>
      <c r="C12429" s="1" t="n">
        <v>45578</v>
      </c>
      <c r="D12429" t="inlineStr">
        <is>
          <t>GÄVLEBORGS LÄN</t>
        </is>
      </c>
      <c r="E12429" t="inlineStr">
        <is>
          <t>OVANÅKER</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44633-2024</t>
        </is>
      </c>
      <c r="B12430" s="1" t="n">
        <v>45574</v>
      </c>
      <c r="C12430" s="1" t="n">
        <v>45578</v>
      </c>
      <c r="D12430" t="inlineStr">
        <is>
          <t>GÄVLEBORGS LÄN</t>
        </is>
      </c>
      <c r="E12430" t="inlineStr">
        <is>
          <t>LJUSDAL</t>
        </is>
      </c>
      <c r="F12430" t="inlineStr">
        <is>
          <t>SCA</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44669-2024</t>
        </is>
      </c>
      <c r="B12431" s="1" t="n">
        <v>45574</v>
      </c>
      <c r="C12431" s="1" t="n">
        <v>45578</v>
      </c>
      <c r="D12431" t="inlineStr">
        <is>
          <t>GÄVLEBORGS LÄN</t>
        </is>
      </c>
      <c r="E12431" t="inlineStr">
        <is>
          <t>BOLLNÄS</t>
        </is>
      </c>
      <c r="F12431" t="inlineStr">
        <is>
          <t>Bergvik skog väst AB</t>
        </is>
      </c>
      <c r="G12431" t="n">
        <v>23.4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44681-2024</t>
        </is>
      </c>
      <c r="B12432" s="1" t="n">
        <v>45574</v>
      </c>
      <c r="C12432" s="1" t="n">
        <v>45578</v>
      </c>
      <c r="D12432" t="inlineStr">
        <is>
          <t>GÄVLEBORGS LÄN</t>
        </is>
      </c>
      <c r="E12432" t="inlineStr">
        <is>
          <t>SÖDERHAMN</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44791-2024</t>
        </is>
      </c>
      <c r="B12433" s="1" t="n">
        <v>45574</v>
      </c>
      <c r="C12433" s="1" t="n">
        <v>45578</v>
      </c>
      <c r="D12433" t="inlineStr">
        <is>
          <t>GÄVLEBORGS LÄN</t>
        </is>
      </c>
      <c r="E12433" t="inlineStr">
        <is>
          <t>GÄVLE</t>
        </is>
      </c>
      <c r="F12433" t="inlineStr">
        <is>
          <t>Bergvik skog öst AB</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44795-2024</t>
        </is>
      </c>
      <c r="B12434" s="1" t="n">
        <v>45574</v>
      </c>
      <c r="C12434" s="1" t="n">
        <v>45578</v>
      </c>
      <c r="D12434" t="inlineStr">
        <is>
          <t>GÄVLEBORGS LÄN</t>
        </is>
      </c>
      <c r="E12434" t="inlineStr">
        <is>
          <t>GÄVLE</t>
        </is>
      </c>
      <c r="F12434" t="inlineStr">
        <is>
          <t>Bergvik skog öst AB</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44800-2024</t>
        </is>
      </c>
      <c r="B12435" s="1" t="n">
        <v>45574</v>
      </c>
      <c r="C12435" s="1" t="n">
        <v>45578</v>
      </c>
      <c r="D12435" t="inlineStr">
        <is>
          <t>GÄVLEBORGS LÄN</t>
        </is>
      </c>
      <c r="E12435" t="inlineStr">
        <is>
          <t>GÄVLE</t>
        </is>
      </c>
      <c r="F12435" t="inlineStr">
        <is>
          <t>Bergvik skog öst AB</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44813-2024</t>
        </is>
      </c>
      <c r="B12436" s="1" t="n">
        <v>45574</v>
      </c>
      <c r="C12436" s="1" t="n">
        <v>45578</v>
      </c>
      <c r="D12436" t="inlineStr">
        <is>
          <t>GÄVLEBORGS LÄN</t>
        </is>
      </c>
      <c r="E12436" t="inlineStr">
        <is>
          <t>HUDIKSVALL</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44837-2024</t>
        </is>
      </c>
      <c r="B12437" s="1" t="n">
        <v>45574</v>
      </c>
      <c r="C12437" s="1" t="n">
        <v>45578</v>
      </c>
      <c r="D12437" t="inlineStr">
        <is>
          <t>GÄVLEBORGS LÄN</t>
        </is>
      </c>
      <c r="E12437" t="inlineStr">
        <is>
          <t>NORDANSTIG</t>
        </is>
      </c>
      <c r="F12437" t="inlineStr">
        <is>
          <t>Holmen skog AB</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44859-2024</t>
        </is>
      </c>
      <c r="B12438" s="1" t="n">
        <v>45575</v>
      </c>
      <c r="C12438" s="1" t="n">
        <v>45578</v>
      </c>
      <c r="D12438" t="inlineStr">
        <is>
          <t>GÄVLEBORGS LÄN</t>
        </is>
      </c>
      <c r="E12438" t="inlineStr">
        <is>
          <t>OVANÅKER</t>
        </is>
      </c>
      <c r="G12438" t="n">
        <v>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44863-2024</t>
        </is>
      </c>
      <c r="B12439" s="1" t="n">
        <v>45575</v>
      </c>
      <c r="C12439" s="1" t="n">
        <v>45578</v>
      </c>
      <c r="D12439" t="inlineStr">
        <is>
          <t>GÄVLEBORGS LÄN</t>
        </is>
      </c>
      <c r="E12439" t="inlineStr">
        <is>
          <t>OVANÅKER</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44910-2024</t>
        </is>
      </c>
      <c r="B12440" s="1" t="n">
        <v>45575</v>
      </c>
      <c r="C12440" s="1" t="n">
        <v>45578</v>
      </c>
      <c r="D12440" t="inlineStr">
        <is>
          <t>GÄVLEBORGS LÄN</t>
        </is>
      </c>
      <c r="E12440" t="inlineStr">
        <is>
          <t>OVANÅKER</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44914-2024</t>
        </is>
      </c>
      <c r="B12441" s="1" t="n">
        <v>45575</v>
      </c>
      <c r="C12441" s="1" t="n">
        <v>45578</v>
      </c>
      <c r="D12441" t="inlineStr">
        <is>
          <t>GÄVLEBORGS LÄN</t>
        </is>
      </c>
      <c r="E12441" t="inlineStr">
        <is>
          <t>GÄVLE</t>
        </is>
      </c>
      <c r="F12441" t="inlineStr">
        <is>
          <t>Bergvik skog öst AB</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44905-2024</t>
        </is>
      </c>
      <c r="B12442" s="1" t="n">
        <v>45575</v>
      </c>
      <c r="C12442" s="1" t="n">
        <v>45578</v>
      </c>
      <c r="D12442" t="inlineStr">
        <is>
          <t>GÄVLEBORGS LÄN</t>
        </is>
      </c>
      <c r="E12442" t="inlineStr">
        <is>
          <t>OVANÅKER</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44913-2024</t>
        </is>
      </c>
      <c r="B12443" s="1" t="n">
        <v>45575</v>
      </c>
      <c r="C12443" s="1" t="n">
        <v>45578</v>
      </c>
      <c r="D12443" t="inlineStr">
        <is>
          <t>GÄVLEBORGS LÄN</t>
        </is>
      </c>
      <c r="E12443" t="inlineStr">
        <is>
          <t>GÄVLE</t>
        </is>
      </c>
      <c r="F12443" t="inlineStr">
        <is>
          <t>Bergvik skog öst AB</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44856-2024</t>
        </is>
      </c>
      <c r="B12444" s="1" t="n">
        <v>45575</v>
      </c>
      <c r="C12444" s="1" t="n">
        <v>45578</v>
      </c>
      <c r="D12444" t="inlineStr">
        <is>
          <t>GÄVLEBORGS LÄN</t>
        </is>
      </c>
      <c r="E12444" t="inlineStr">
        <is>
          <t>LJUSDAL</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45179-2024</t>
        </is>
      </c>
      <c r="B12445" s="1" t="n">
        <v>45575</v>
      </c>
      <c r="C12445" s="1" t="n">
        <v>45578</v>
      </c>
      <c r="D12445" t="inlineStr">
        <is>
          <t>GÄVLEBORGS LÄN</t>
        </is>
      </c>
      <c r="E12445" t="inlineStr">
        <is>
          <t>HUDIKSVALL</t>
        </is>
      </c>
      <c r="F12445" t="inlineStr">
        <is>
          <t>Holmen skog AB</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45183-2024</t>
        </is>
      </c>
      <c r="B12446" s="1" t="n">
        <v>45575</v>
      </c>
      <c r="C12446" s="1" t="n">
        <v>45578</v>
      </c>
      <c r="D12446" t="inlineStr">
        <is>
          <t>GÄVLEBORGS LÄN</t>
        </is>
      </c>
      <c r="E12446" t="inlineStr">
        <is>
          <t>OCKELBO</t>
        </is>
      </c>
      <c r="F12446" t="inlineStr">
        <is>
          <t>Bergvik skog väst AB</t>
        </is>
      </c>
      <c r="G12446" t="n">
        <v>12.2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45131-2024</t>
        </is>
      </c>
      <c r="B12447" s="1" t="n">
        <v>45575</v>
      </c>
      <c r="C12447" s="1" t="n">
        <v>45578</v>
      </c>
      <c r="D12447" t="inlineStr">
        <is>
          <t>GÄVLEBORGS LÄN</t>
        </is>
      </c>
      <c r="E12447" t="inlineStr">
        <is>
          <t>SANDVIKEN</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45017-2024</t>
        </is>
      </c>
      <c r="B12448" s="1" t="n">
        <v>45575</v>
      </c>
      <c r="C12448" s="1" t="n">
        <v>45578</v>
      </c>
      <c r="D12448" t="inlineStr">
        <is>
          <t>GÄVLEBORGS LÄN</t>
        </is>
      </c>
      <c r="E12448" t="inlineStr">
        <is>
          <t>BOLLNÄS</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45029-2024</t>
        </is>
      </c>
      <c r="B12449" s="1" t="n">
        <v>45575</v>
      </c>
      <c r="C12449" s="1" t="n">
        <v>45578</v>
      </c>
      <c r="D12449" t="inlineStr">
        <is>
          <t>GÄVLEBORGS LÄN</t>
        </is>
      </c>
      <c r="E12449" t="inlineStr">
        <is>
          <t>GÄVLE</t>
        </is>
      </c>
      <c r="F12449" t="inlineStr">
        <is>
          <t>Bergvik skog väst AB</t>
        </is>
      </c>
      <c r="G12449" t="n">
        <v>7.2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45103-2024</t>
        </is>
      </c>
      <c r="B12450" s="1" t="n">
        <v>45575</v>
      </c>
      <c r="C12450" s="1" t="n">
        <v>45578</v>
      </c>
      <c r="D12450" t="inlineStr">
        <is>
          <t>GÄVLEBORGS LÄN</t>
        </is>
      </c>
      <c r="E12450" t="inlineStr">
        <is>
          <t>OCKELBO</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45241-2024</t>
        </is>
      </c>
      <c r="B12451" s="1" t="n">
        <v>45576</v>
      </c>
      <c r="C12451" s="1" t="n">
        <v>45578</v>
      </c>
      <c r="D12451" t="inlineStr">
        <is>
          <t>GÄVLEBORGS LÄN</t>
        </is>
      </c>
      <c r="E12451" t="inlineStr">
        <is>
          <t>LJUSDAL</t>
        </is>
      </c>
      <c r="F12451" t="inlineStr">
        <is>
          <t>Sveaskog</t>
        </is>
      </c>
      <c r="G12451" t="n">
        <v>14.4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44948-2024</t>
        </is>
      </c>
      <c r="B12452" s="1" t="n">
        <v>45575</v>
      </c>
      <c r="C12452" s="1" t="n">
        <v>45578</v>
      </c>
      <c r="D12452" t="inlineStr">
        <is>
          <t>GÄVLEBORGS LÄN</t>
        </is>
      </c>
      <c r="E12452" t="inlineStr">
        <is>
          <t>BOLLNÄS</t>
        </is>
      </c>
      <c r="G12452" t="n">
        <v>4.9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45115-2024</t>
        </is>
      </c>
      <c r="B12453" s="1" t="n">
        <v>45575</v>
      </c>
      <c r="C12453" s="1" t="n">
        <v>45578</v>
      </c>
      <c r="D12453" t="inlineStr">
        <is>
          <t>GÄVLEBORGS LÄN</t>
        </is>
      </c>
      <c r="E12453" t="inlineStr">
        <is>
          <t>BOLLNÄS</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45181-2024</t>
        </is>
      </c>
      <c r="B12454" s="1" t="n">
        <v>45575</v>
      </c>
      <c r="C12454" s="1" t="n">
        <v>45578</v>
      </c>
      <c r="D12454" t="inlineStr">
        <is>
          <t>GÄVLEBORGS LÄN</t>
        </is>
      </c>
      <c r="E12454" t="inlineStr">
        <is>
          <t>HUDIKSVALL</t>
        </is>
      </c>
      <c r="F12454" t="inlineStr">
        <is>
          <t>Holmen skog AB</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45189-2024</t>
        </is>
      </c>
      <c r="B12455" s="1" t="n">
        <v>45575</v>
      </c>
      <c r="C12455" s="1" t="n">
        <v>45578</v>
      </c>
      <c r="D12455" t="inlineStr">
        <is>
          <t>GÄVLEBORGS LÄN</t>
        </is>
      </c>
      <c r="E12455" t="inlineStr">
        <is>
          <t>OCKELBO</t>
        </is>
      </c>
      <c r="F12455" t="inlineStr">
        <is>
          <t>Bergvik skog väst AB</t>
        </is>
      </c>
      <c r="G12455" t="n">
        <v>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45270-2024</t>
        </is>
      </c>
      <c r="B12456" s="1" t="n">
        <v>45576</v>
      </c>
      <c r="C12456" s="1" t="n">
        <v>45578</v>
      </c>
      <c r="D12456" t="inlineStr">
        <is>
          <t>GÄVLEBORGS LÄN</t>
        </is>
      </c>
      <c r="E12456" t="inlineStr">
        <is>
          <t>LJUSDAL</t>
        </is>
      </c>
      <c r="F12456" t="inlineStr">
        <is>
          <t>Sveaskog</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45433-2024</t>
        </is>
      </c>
      <c r="B12457" s="1" t="n">
        <v>45576</v>
      </c>
      <c r="C12457" s="1" t="n">
        <v>45578</v>
      </c>
      <c r="D12457" t="inlineStr">
        <is>
          <t>GÄVLEBORGS LÄN</t>
        </is>
      </c>
      <c r="E12457" t="inlineStr">
        <is>
          <t>NORDANSTIG</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45318-2024</t>
        </is>
      </c>
      <c r="B12458" s="1" t="n">
        <v>45576</v>
      </c>
      <c r="C12458" s="1" t="n">
        <v>45578</v>
      </c>
      <c r="D12458" t="inlineStr">
        <is>
          <t>GÄVLEBORGS LÄN</t>
        </is>
      </c>
      <c r="E12458" t="inlineStr">
        <is>
          <t>SANDVIKEN</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45331-2024</t>
        </is>
      </c>
      <c r="B12459" s="1" t="n">
        <v>45576</v>
      </c>
      <c r="C12459" s="1" t="n">
        <v>45578</v>
      </c>
      <c r="D12459" t="inlineStr">
        <is>
          <t>GÄVLEBORGS LÄN</t>
        </is>
      </c>
      <c r="E12459" t="inlineStr">
        <is>
          <t>SANDVIKEN</t>
        </is>
      </c>
      <c r="F12459" t="inlineStr">
        <is>
          <t>Bergvik skog öst AB</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45380-2024</t>
        </is>
      </c>
      <c r="B12460" s="1" t="n">
        <v>45576</v>
      </c>
      <c r="C12460" s="1" t="n">
        <v>45578</v>
      </c>
      <c r="D12460" t="inlineStr">
        <is>
          <t>GÄVLEBORGS LÄN</t>
        </is>
      </c>
      <c r="E12460" t="inlineStr">
        <is>
          <t>HUDIKSVALL</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45388-2024</t>
        </is>
      </c>
      <c r="B12461" s="1" t="n">
        <v>45576</v>
      </c>
      <c r="C12461" s="1" t="n">
        <v>45578</v>
      </c>
      <c r="D12461" t="inlineStr">
        <is>
          <t>GÄVLEBORGS LÄN</t>
        </is>
      </c>
      <c r="E12461" t="inlineStr">
        <is>
          <t>LJUSDAL</t>
        </is>
      </c>
      <c r="F12461" t="inlineStr">
        <is>
          <t>Sveaskog</t>
        </is>
      </c>
      <c r="G12461" t="n">
        <v>13.2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45446-2024</t>
        </is>
      </c>
      <c r="B12462" s="1" t="n">
        <v>45576</v>
      </c>
      <c r="C12462" s="1" t="n">
        <v>45578</v>
      </c>
      <c r="D12462" t="inlineStr">
        <is>
          <t>GÄVLEBORGS LÄN</t>
        </is>
      </c>
      <c r="E12462" t="inlineStr">
        <is>
          <t>LJUSDAL</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45373-2024</t>
        </is>
      </c>
      <c r="B12463" s="1" t="n">
        <v>45576</v>
      </c>
      <c r="C12463" s="1" t="n">
        <v>45578</v>
      </c>
      <c r="D12463" t="inlineStr">
        <is>
          <t>GÄVLEBORGS LÄN</t>
        </is>
      </c>
      <c r="E12463" t="inlineStr">
        <is>
          <t>GÄVLE</t>
        </is>
      </c>
      <c r="G12463" t="n">
        <v>0.8</v>
      </c>
      <c r="H12463" t="n">
        <v>0</v>
      </c>
      <c r="I12463" t="n">
        <v>0</v>
      </c>
      <c r="J12463" t="n">
        <v>0</v>
      </c>
      <c r="K12463" t="n">
        <v>0</v>
      </c>
      <c r="L12463" t="n">
        <v>0</v>
      </c>
      <c r="M12463" t="n">
        <v>0</v>
      </c>
      <c r="N12463" t="n">
        <v>0</v>
      </c>
      <c r="O12463" t="n">
        <v>0</v>
      </c>
      <c r="P12463" t="n">
        <v>0</v>
      </c>
      <c r="Q12463" t="n">
        <v>0</v>
      </c>
      <c r="R12463" s="2" t="inlineStr"/>
    </row>
    <row r="12464">
      <c r="A12464" t="inlineStr">
        <is>
          <t>A 45432-2024</t>
        </is>
      </c>
      <c r="B12464" s="1" t="n">
        <v>45576</v>
      </c>
      <c r="C12464" s="1" t="n">
        <v>45578</v>
      </c>
      <c r="D12464" t="inlineStr">
        <is>
          <t>GÄVLEBORGS LÄN</t>
        </is>
      </c>
      <c r="E12464" t="inlineStr">
        <is>
          <t>NORDANSTIG</t>
        </is>
      </c>
      <c r="G12464" t="n">
        <v>1.3</v>
      </c>
      <c r="H12464" t="n">
        <v>0</v>
      </c>
      <c r="I12464" t="n">
        <v>0</v>
      </c>
      <c r="J12464" t="n">
        <v>0</v>
      </c>
      <c r="K12464" t="n">
        <v>0</v>
      </c>
      <c r="L12464" t="n">
        <v>0</v>
      </c>
      <c r="M12464" t="n">
        <v>0</v>
      </c>
      <c r="N12464" t="n">
        <v>0</v>
      </c>
      <c r="O12464" t="n">
        <v>0</v>
      </c>
      <c r="P12464" t="n">
        <v>0</v>
      </c>
      <c r="Q12464" t="n">
        <v>0</v>
      </c>
      <c r="R12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2024-10-13T12:17:12Z</dcterms:created>
  <dcterms:modified xmlns:dcterms="http://purl.org/dc/terms/" xmlns:xsi="http://www.w3.org/2001/XMLSchema-instance" xsi:type="dcterms:W3CDTF">2024-10-13T12:17:23Z</dcterms:modified>
</cp:coreProperties>
</file>